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imation_web" sheetId="1" r:id="rId5"/>
    <sheet state="hidden" name="Estimation_mobile" sheetId="2" r:id="rId6"/>
  </sheets>
  <definedNames/>
  <calcPr/>
</workbook>
</file>

<file path=xl/sharedStrings.xml><?xml version="1.0" encoding="utf-8"?>
<sst xmlns="http://schemas.openxmlformats.org/spreadsheetml/2006/main" count="350" uniqueCount="333">
  <si>
    <t>#</t>
  </si>
  <si>
    <t>Modules</t>
  </si>
  <si>
    <t>Features</t>
  </si>
  <si>
    <t>Tasks</t>
  </si>
  <si>
    <t>UI/UX Total
(man-hour)</t>
  </si>
  <si>
    <t>UI/UX Total
(man-day)</t>
  </si>
  <si>
    <t>Frontend (Responsive)
(man-hour)</t>
  </si>
  <si>
    <t>Mobile
(man-day)</t>
  </si>
  <si>
    <t>Backend
(man-hour)</t>
  </si>
  <si>
    <t>Backend (API)
(man-day)</t>
  </si>
  <si>
    <t>QA
(man-hour)</t>
  </si>
  <si>
    <t>QA
(man-day)</t>
  </si>
  <si>
    <t>Total
(man-hour)</t>
  </si>
  <si>
    <t>Total
(man-day)</t>
  </si>
  <si>
    <t>1</t>
  </si>
  <si>
    <t>Project initialization, Requirement Analysis, Architecture &amp; System design</t>
  </si>
  <si>
    <t>Project Initialization, Requirement Analysis, Architecture &amp; System Design</t>
  </si>
  <si>
    <t>Project Initialization &amp; Repository Setup</t>
  </si>
  <si>
    <t>Requirement analysis &amp; documentation (functional + non-functional requirements, stakeholder sign-off)</t>
  </si>
  <si>
    <t>Define product vision, naming rationale (TalentTrace AI) &amp; positioning statement</t>
  </si>
  <si>
    <t>Select Framework(Riverpod/Bloc/GetX) and setup</t>
  </si>
  <si>
    <t>Architecture Module</t>
  </si>
  <si>
    <t>Initialize GitHub repository with multi-branch strategy (main, develop)</t>
  </si>
  <si>
    <t>Flutter: Define offline-first architecture (source-of-truth model, sync boundaries)</t>
  </si>
  <si>
    <t>Configure leak-prevention .gitignore (data &amp; secrets) and .env.example template</t>
  </si>
  <si>
    <t>Flutter: Define synchronization strategy (delta sync, versioning, conflict policy)</t>
  </si>
  <si>
    <t>Set up local development environment, Python 3.10+ workspace, and Docker engine</t>
  </si>
  <si>
    <t>Flutter: Finalize tech stack, package selection &amp; dependency baseline</t>
  </si>
  <si>
    <t>Requirement Understanding &amp; Clarifications</t>
  </si>
  <si>
    <t>Review functional features (F1–F6), non-functional constraints, and evaluation rubrics</t>
  </si>
  <si>
    <t>Flutter: repo, DI, routing, environment/flavor config</t>
  </si>
  <si>
    <t>Compile and document 48 clarification questions, trainer responses, and adopted assumptions</t>
  </si>
  <si>
    <t>Map scope boundaries, out-of-scope constraints, and third-party service dependencies</t>
  </si>
  <si>
    <t>Flutter: CI/CD pipeline (build, lint, test, signing)</t>
  </si>
  <si>
    <t>Architecture &amp; System Design</t>
  </si>
  <si>
    <t>Flutter: Build responsive Flutter layouts that automatically adapt content, text, and buttons across phones and tablets.</t>
  </si>
  <si>
    <t>Design high-level system component diagram, API service boundaries, and data contracts</t>
  </si>
  <si>
    <t>Data design</t>
  </si>
  <si>
    <t>Design stateful LangGraph topologies with checkpointer state persistence for resumability</t>
  </si>
  <si>
    <t>Backend: Design the main server storage to securely organize and store all system data.</t>
  </si>
  <si>
    <t>Create Risk Register with technical risks, failure modes, likelihood, and mitigation plans</t>
  </si>
  <si>
    <t>API Design</t>
  </si>
  <si>
    <t>Design relational database schemas and candidate lifecycle state machine</t>
  </si>
  <si>
    <t>Flutter: Set up secure, structured on-device storage so the app saves data offline and updates smoothly across app versions.</t>
  </si>
  <si>
    <t>Flutter: Define RESTful resource URIs, standard HTTP status codes, error payload schemas, and domain-specific error codes.</t>
  </si>
  <si>
    <t>2</t>
  </si>
  <si>
    <t>Environment Foundation, Containerization &amp; Authentication Setup</t>
  </si>
  <si>
    <t>Flutter: Generate type-safe DTO models, fromJson/toJson serializers, and immutable data entities for network layers.</t>
  </si>
  <si>
    <t>System Design</t>
  </si>
  <si>
    <t>Flutter: Design tokens, typography, color &amp; spacing scale</t>
  </si>
  <si>
    <t>Flutter: Build reusable atomic UI widgets (CustomButton, AppTextField, StateContainers, Shimmer loaders).</t>
  </si>
  <si>
    <t>Auth &amp; Role-Based Access Control</t>
  </si>
  <si>
    <t>Initialize FastAPI application with OpenAPI documentation and CORS settings</t>
  </si>
  <si>
    <t>Authentication</t>
  </si>
  <si>
    <t>Implement lightweight authentication (Firebase / JWT) supporting Interviewer and Candidate roles</t>
  </si>
  <si>
    <t>Implement role-based route middleware to restrict candidates from accessing scoring and rankings</t>
  </si>
  <si>
    <t>Database Models &amp; Docker Compose</t>
  </si>
  <si>
    <t>Login</t>
  </si>
  <si>
    <t>Configure relational schemas for multiple job profiles, candidates, transcripts, and scores</t>
  </si>
  <si>
    <t>UI/UX design: login screen (wireframe + hi-fi mockup)</t>
  </si>
  <si>
    <t>Configure SQLite/Postgres checkpointer for LangGraph state persistence and resumability</t>
  </si>
  <si>
    <t>Write multi-service Dockerfile and docker-compose.yml with named persistent volumes</t>
  </si>
  <si>
    <t>Verify single-command startup and volume persistence across container restarts</t>
  </si>
  <si>
    <t>3</t>
  </si>
  <si>
    <t>Pre-Interview Core: CV Ingestion, OCR, Screening, Candidate Scoring &amp; Social Job Dispatch via MCP (F1, F2)</t>
  </si>
  <si>
    <t>Flutter: login form UI (input fields, validation, loading/error states)</t>
  </si>
  <si>
    <t>Flutter: secure token persistence (secure storage)</t>
  </si>
  <si>
    <t>Backend: authentication API (credential check, JWT token issue)</t>
  </si>
  <si>
    <t>Job Profile Management &amp; LLM Generator</t>
  </si>
  <si>
    <t>Build UI and API endpoints to create and manage multiple job profiles simultaneously</t>
  </si>
  <si>
    <t>Backend: session/token refresh &amp; expiry handling</t>
  </si>
  <si>
    <t>Implement LLM prompt / chatbot to generate job descriptions and evaluation criteria</t>
  </si>
  <si>
    <t>Flutter: idle auto-logout &amp; session lifecycle</t>
  </si>
  <si>
    <t>Configure criteria dimensions (skills, experience, qualifications) with AI-determined default weights</t>
  </si>
  <si>
    <t>Reset password</t>
  </si>
  <si>
    <t>Social Job Circular Dispatch via MCP (LinkedIn &amp; Twitter/X)</t>
  </si>
  <si>
    <t>Configure a Model Context Protocol (MCP) client within the Python/LangGraph backend that interfaces with an MCP server (tools) to publish AI-generated job circulars directly to LinkedIn and Twitter (X.com)</t>
  </si>
  <si>
    <t>Dual-Layer Batch CV Parsing &amp; OCR</t>
  </si>
  <si>
    <t>Build batch CV upload interface supporting 20 sample files (PDF/DOCX)</t>
  </si>
  <si>
    <t>UI/UX design – forgot/reset password screen (OTP entry, new password)</t>
  </si>
  <si>
    <t>Implement primary text extraction pipeline via PyMuPDF/pdfplumber</t>
  </si>
  <si>
    <t>Implement OCR fallback pipeline (Tesseract/PyMuPDF OCR) for scanned or image-heavy PDFs</t>
  </si>
  <si>
    <t>Extract structured candidate attributes (contact, education, work history, skills)</t>
  </si>
  <si>
    <t>Resumable LangGraph Screening Agent (F1)</t>
  </si>
  <si>
    <t>Flutter: reset password flow UI (OTP entry, new password, resend timer)</t>
  </si>
  <si>
    <t>Build multi-node LangGraph screening workflow with defined state and transitions</t>
  </si>
  <si>
    <t>Match extracted attributes semantically against requirements (beyond keyword matching)</t>
  </si>
  <si>
    <t>Backend: OTP generation &amp; verification service (SMS/email)</t>
  </si>
  <si>
    <t>Automatically exclude candidates failing mandatory hard requirements</t>
  </si>
  <si>
    <t>Integrate checkpointer to resume screening automatically after app restart</t>
  </si>
  <si>
    <t>Backend: reset password API</t>
  </si>
  <si>
    <t>Scoring Engine (0-100) &amp; Ranking (F2)</t>
  </si>
  <si>
    <t>Calculate suitability scores on 0–100 scale across skills, experience, and education</t>
  </si>
  <si>
    <t>Inspections Dashboard</t>
  </si>
  <si>
    <t>Compute ATS-style CV–job description match score</t>
  </si>
  <si>
    <t>Generate natural-language score justifications referencing CV evidence</t>
  </si>
  <si>
    <t>Render ordered candidate ranking dashboard with score breakdowns</t>
  </si>
  <si>
    <t>Home UI</t>
  </si>
  <si>
    <t>UI/UX: mobile/tablet responsive layout (scrollable cards, grid breakdown)</t>
  </si>
  <si>
    <t>4</t>
  </si>
  <si>
    <t>During-Interview Core: Scheduling &amp; 1-on-1 Video Interview (F3)</t>
  </si>
  <si>
    <t>Flutter: dashboard screen base layout, pull-to-refresh &amp; skeleton loader states</t>
  </si>
  <si>
    <t>Interview Scheduling &amp; Unique Link</t>
  </si>
  <si>
    <t>Build interview scheduling interface for future date and time selection</t>
  </si>
  <si>
    <t>Offline Data show</t>
  </si>
  <si>
    <t>DB :  show the pending aproval data (insert &amp; update)</t>
  </si>
  <si>
    <t>Generate secure, unique candidate-specific session URLs</t>
  </si>
  <si>
    <t>Link interview session record with candidate ID and active job profile</t>
  </si>
  <si>
    <t>Filters</t>
  </si>
  <si>
    <t>1-on-1 WebRTC Call &amp; Reconnection</t>
  </si>
  <si>
    <t>UI/UX : dashboard header &amp; filter bar design (category type, project, date range, refresh)</t>
  </si>
  <si>
    <t>Implement browser-based 1-on-1 WebRTC video session (Interviewer and Candidate)</t>
  </si>
  <si>
    <t>Provide in-call media controls (mic mute, camera toggle, disconnect)</t>
  </si>
  <si>
    <t>Flutter: filter bar UI (dropdowns, refresh action)</t>
  </si>
  <si>
    <t>Build auto-reconnection logic on brief network disconnection</t>
  </si>
  <si>
    <t>Flutter: filter state management + Hold selected filters, trigger data reload</t>
  </si>
  <si>
    <t>Verify dual-tab operation on localhost for live evaluation demonstration</t>
  </si>
  <si>
    <t>Dual Audio Capture &amp; Privacy Discard</t>
  </si>
  <si>
    <t>Flutter: Send active filters to the API, refresh dashboard cards with results, and manage loading, empty, and error UI states based on the response.</t>
  </si>
  <si>
    <t>Capture separate browser audio streams for interviewer and candidate via Web Audio API</t>
  </si>
  <si>
    <t>Buffer audio chunks in memory/temporary cache for streaming STT processing</t>
  </si>
  <si>
    <t>Backend — dashboard filter query API (category, project, date range params)</t>
  </si>
  <si>
    <t>Enforce privacy discard rule: purge raw video and audio immediately after transcription</t>
  </si>
  <si>
    <t>Charts</t>
  </si>
  <si>
    <t>UI/UX: chart style design (time-period bar, inspections donut with center total label, status breakdown chart)</t>
  </si>
  <si>
    <t>5</t>
  </si>
  <si>
    <t>During-Interview Core: Real-Time Speech Recognition &amp; Attribution (F4)</t>
  </si>
  <si>
    <t>Flutter: time-period bar chart widget</t>
  </si>
  <si>
    <t>Flutter: inspections status donut chart widget (center total label)</t>
  </si>
  <si>
    <t>Streaming Speech-to-Text Pipeline</t>
  </si>
  <si>
    <t>Flutter: status breakdown chart widget</t>
  </si>
  <si>
    <t>Backend: chart aggregation API (time series + status counts)</t>
  </si>
  <si>
    <t>Stats summary panel</t>
  </si>
  <si>
    <t>UI/UX: stats summary panel layout (7 stat items — inspections, checklists, notes, pictures, inspectors, projects, resp. parties)</t>
  </si>
  <si>
    <t>Flutter: stats summary panel (inspections, checklists, notes, pictures, inspectors, projects, resp. parties)</t>
  </si>
  <si>
    <t>Backend: stats aggregation API</t>
  </si>
  <si>
    <t>Breakdown list panels (10 dimensions)</t>
  </si>
  <si>
    <t>UI/UX: breakdown-list panel design (count, progress bar, A–Z sort icon, download icon, filter icon, "Me" badge highlight)</t>
  </si>
  <si>
    <t>Flutter: reusable breakdown-list component (count, progress bar, sortable A–Z)</t>
  </si>
  <si>
    <t>Flutter: wire up 10 panels (division, project, phase, location, category, checklist, resp. party, inspector type, affiliation, inspector)</t>
  </si>
  <si>
    <t>Backend: breakdown aggregation API, 10 dimensions (group-by counts)</t>
  </si>
  <si>
    <t>Flutter: "Me" badge highlighting for current user's row</t>
  </si>
  <si>
    <t>Pending Approvals Dashboard</t>
  </si>
  <si>
    <t>Header / Filters</t>
  </si>
  <si>
    <t>UI/UX: review header &amp; filter bar for Pending Approvals labels (reuse existing design, confirm no changes needed)</t>
  </si>
  <si>
    <t xml:space="preserve">Flutter: wire up Pending Approvals screen (reuse base layout, header &amp; filter bar); manage filter state, call filter API, and bind results to dashboard widgets with loading/empty/error states
</t>
  </si>
  <si>
    <t>Backend: pending approvals filter query API (category, project, date range params)</t>
  </si>
  <si>
    <t>UI/UX: confirm Status and Priority bar chart styling matches existing bar chart component</t>
  </si>
  <si>
    <t xml:space="preserve">Flutter: wire Status bar chart widget (reuse bar chart component); call chart aggregation API and bind status counts
    to the widget, with loading/empty/error states  </t>
  </si>
  <si>
    <t>Flutter: wire Priority bar chart widget (reuse bar chart component); bind priority counts from the chart aggregation</t>
  </si>
  <si>
    <t>Backend: chart aggregation API (status counts + priority counts)</t>
  </si>
  <si>
    <t>UI/UX: stats panel layout for Avg. Age (decimal/day value) and Total Risk Factor (numeric score) display styles</t>
  </si>
  <si>
    <t xml:space="preserve">Flutter: wire stats summary panel (7 items — approvals, inspections, avg. age, checklists, inspectors, projects, total
    risk factor); call stats aggregation API and bind values to the panel, with loading/empty/error states </t>
  </si>
  <si>
    <t>Backend: stats aggregation API (incl. avg. age calculation, risk factor sum)</t>
  </si>
  <si>
    <t>Breakdown list panels (8 dimensions)</t>
  </si>
  <si>
    <t>UI/UX: confirm breakdown-list panel design covers new dimensions (approver, resp. party/user) and "Me" badge placement</t>
  </si>
  <si>
    <t xml:space="preserve">Flutter: wire up 8 panels (project, phase, location, resp. party/user, approver, inspection category, checklist, category) —
    reuse breakdown-list component; call breakdown aggregation API and bind grouped counts to each panel, with
    loading/empty/error states  </t>
  </si>
  <si>
    <t>Backend: breakdown aggregation API, 8 dimensions (group-by counts)</t>
  </si>
  <si>
    <t>Flutter: "Me" badge highlighting on Approver panel (reuse existing badge component)</t>
  </si>
  <si>
    <t>Start new inspection</t>
  </si>
  <si>
    <t>Starting a new inspection</t>
  </si>
  <si>
    <t xml:space="preserve">UI/UX design dashboard/home screen with "Start new inspection" </t>
  </si>
  <si>
    <t>Flutter: button + navigation to division selection</t>
  </si>
  <si>
    <t>Selecting division</t>
  </si>
  <si>
    <t>UI/UX design – division list screen</t>
  </si>
  <si>
    <t>Flutter: division list UI (loading / empty / error states)</t>
  </si>
  <si>
    <t>Backend: GET divisions API</t>
  </si>
  <si>
    <t>Flutter: division selection + local state handling</t>
  </si>
  <si>
    <t>Backend/DB :  save selected division (insert &amp; update)</t>
  </si>
  <si>
    <t>Flutter: offline caching of division list for offline-first use</t>
  </si>
  <si>
    <t>Selecting checklist</t>
  </si>
  <si>
    <t>UI/UX design – checklist list screen</t>
  </si>
  <si>
    <t>Flutter: checklist list UI (search/filter, pagination, loading/empty states)</t>
  </si>
  <si>
    <t>Backend: GET checklist list API</t>
  </si>
  <si>
    <t>Integrate Google Cloud Speech-to-Text streaming API / Whisper streaming</t>
  </si>
  <si>
    <t>Backend/DB :  insert &amp; update checklist list records</t>
  </si>
  <si>
    <t>UI/UX design – checklist details screen</t>
  </si>
  <si>
    <t>Flutter: checklist details UI (dynamic form rendering per item type)</t>
  </si>
  <si>
    <t>Backend: GET checklist details API</t>
  </si>
  <si>
    <t>Stream English audio chunks with minimal perceptible lag during call</t>
  </si>
  <si>
    <t>Backend/DB :  insert &amp; update checklist details records</t>
  </si>
  <si>
    <t>Handle silence, overlapping speech, and accented audio without stream failure</t>
  </si>
  <si>
    <t>Flutter: offline caching of checklist data (local DB schema, read/write)</t>
  </si>
  <si>
    <t>Speaker Attribution &amp; Transcript Storage</t>
  </si>
  <si>
    <t>Attribute speech turns using participant metadata (Interviewer vs Candidate) without mixed-audio ML diarization</t>
  </si>
  <si>
    <t>Selecting responsible party</t>
  </si>
  <si>
    <t>Generate timestamped turns (elapsed interview time or clock time)</t>
  </si>
  <si>
    <t>UI/UX design – responsible party list screen</t>
  </si>
  <si>
    <t>Flutter:  responsible party list &amp; search UI</t>
  </si>
  <si>
    <t>Backend: GET responsible parties API</t>
  </si>
  <si>
    <t>Flutter: selection logic (single/multi-select)</t>
  </si>
  <si>
    <t>Display live scrolling transcript in interview interface</t>
  </si>
  <si>
    <t>Persist structured transcript to database linked to candidate session</t>
  </si>
  <si>
    <t>Backend/DB :  save responsible party assignment</t>
  </si>
  <si>
    <t>6</t>
  </si>
  <si>
    <t>Draft/Temporary Inspection</t>
  </si>
  <si>
    <t>Post-Interview Core: Q&amp;A Analysis &amp; Consolidated Assessment (F5, F6)</t>
  </si>
  <si>
    <t>Filling out the inspection checklist and saving (draft/temporary save)</t>
  </si>
  <si>
    <t>UI/UX design – draft/recent inspections list screen</t>
  </si>
  <si>
    <t>Q&amp;A Segmentation &amp; Small-Talk Filter</t>
  </si>
  <si>
    <t>Build LangGraph segmentation node to pair interviewer questions with candidate answers</t>
  </si>
  <si>
    <t>Flutter: draft list UI (status badges, sorting, loading/empty states)</t>
  </si>
  <si>
    <t>Split multi-part interviewer questions into separate evaluation units</t>
  </si>
  <si>
    <t>Backend: GET draft list API</t>
  </si>
  <si>
    <t>Filter out greetings, connectivity checks, and casual small-talk from evaluation</t>
  </si>
  <si>
    <t>RAG Technical Accuracy Verification</t>
  </si>
  <si>
    <t>Integrate RAG pipeline querying authoritative technical documentation to verify technical accuracy</t>
  </si>
  <si>
    <t>Backend/DB :  insert &amp; update draft list records</t>
  </si>
  <si>
    <t>Evaluate candidate answers on relevance, accuracy, completeness, and articulation</t>
  </si>
  <si>
    <t>UI/UX design – checklist fill-out details screen (pass/fail/NA, comments, attachments)</t>
  </si>
  <si>
    <t>Map Q&amp;A pairs to job requirements and highlight unexplored competencies</t>
  </si>
  <si>
    <t>Flutter: dynamic checklist form rendering + local autosave</t>
  </si>
  <si>
    <t>Generate evaluation justifications with cited transcript segments</t>
  </si>
  <si>
    <t>Flutter: field validation logic (mandatory fields, conditional fields)</t>
  </si>
  <si>
    <t>Consolidated Assessment &amp; Comparison</t>
  </si>
  <si>
    <t>Merge CV screening score, ATS match, and interview Q&amp;A analysis into unified 0–100 score</t>
  </si>
  <si>
    <t>Backend: save/update draft API</t>
  </si>
  <si>
    <t>Render report with summary of strengths, weaknesses, and evidence gaps</t>
  </si>
  <si>
    <t>Backend/DB :  insert &amp; update draft detail records</t>
  </si>
  <si>
    <t>Build side-by-side comparison matrix for multiple candidates assessed for the same role</t>
  </si>
  <si>
    <t>Provide exportable / printable formatted report (PDF / styled HTML print)</t>
  </si>
  <si>
    <t>Flutter: offline draft storage (local DB read/write, SQLite/Room)</t>
  </si>
  <si>
    <t>7</t>
  </si>
  <si>
    <t>Creative / Innovation Feature: TalentTrace Dynamic Interviewer Co-Pilot (F11)</t>
  </si>
  <si>
    <t>Flutter: View saved/completed inspections</t>
  </si>
  <si>
    <t>Synchronization &amp; Sync Control</t>
  </si>
  <si>
    <t>Dynamic In-Call Interviewer Co-Pilot</t>
  </si>
  <si>
    <t>Build background LangGraph agent monitoring live transcript turns against job requirement checklist</t>
  </si>
  <si>
    <t>Initial sync</t>
  </si>
  <si>
    <t>Flutter:  first-run sync orchestration (divisions/checklists/parties/inspection &amp; Pending Approval dashboard)</t>
  </si>
  <si>
    <t>Dynamically detect unaddressed competencies or shallow candidate responses</t>
  </si>
  <si>
    <t>Generate context-aware follow-up probing questions in real-time on interviewer screen</t>
  </si>
  <si>
    <t>Ensure candidate cannot see the co-pilot assistance (interviewer-only widget)</t>
  </si>
  <si>
    <t>Backend: bootstrap sync-down API (versioned master data)</t>
  </si>
  <si>
    <t>Innovation Documentation &amp; Rationale</t>
  </si>
  <si>
    <t>Author 300–500 word justification document covering problem statement, target beneficiary, and value</t>
  </si>
  <si>
    <t>Sync engine (client)</t>
  </si>
  <si>
    <t>Document architectural integration within LangGraph and commit to /docs/innovation_rationale.md</t>
  </si>
  <si>
    <t>Flutter:  offline-first repository interface &amp; abstraction layer</t>
  </si>
  <si>
    <t>8</t>
  </si>
  <si>
    <t>System Hardening, Docker Clean Verification &amp; Final Presentation</t>
  </si>
  <si>
    <t>Flutter:  local write-ahead / pending-changes queue table</t>
  </si>
  <si>
    <t>Flutter:  outbound delta capture logic (changed-field diffing)</t>
  </si>
  <si>
    <t>Flutter:  background sync scheduler setup (WorkManager/BGTaskScheduler)</t>
  </si>
  <si>
    <t>Privacy Compliance &amp; Data Wipe</t>
  </si>
  <si>
    <t>Implement backend administrative endpoint DELETE /candidates/{id} for cascading data wipe</t>
  </si>
  <si>
    <t>Flutter:  network-state listener &amp; sync trigger logic (periodic + manual)</t>
  </si>
  <si>
    <t>Flutter:  conflict detection logic (version/timestamp comparison)</t>
  </si>
  <si>
    <t>Enforce fairness compliance: verify scoring inputs use only job criteria</t>
  </si>
  <si>
    <t>Document third-party AI service data disclosures in /docs/privacy_note.md</t>
  </si>
  <si>
    <t>Flutter:  retry &amp; exponential backoff logic</t>
  </si>
  <si>
    <t>Verify structured logging does not expose secrets, credentials, or PII</t>
  </si>
  <si>
    <t>Flutter:  sync payload serialization &amp; compression</t>
  </si>
  <si>
    <t>Batch Throughput &amp; Docker Verification</t>
  </si>
  <si>
    <t>Benchmark batch screening throughput for 20 sample CVs (&lt;5 minutes target)</t>
  </si>
  <si>
    <t>Sync engine (server)</t>
  </si>
  <si>
    <t>Verify single-command startup (docker compose up) on clean machine without cached dependencies</t>
  </si>
  <si>
    <t>Backend: bulk sync push endpoint (accept batched offline records)</t>
  </si>
  <si>
    <t>Complete comprehensive README.md with setup commands, architecture, and known limitations</t>
  </si>
  <si>
    <t>Backend: bulk sync pull endpoint (deliver server-side deltas)</t>
  </si>
  <si>
    <t>Tagging, Presentation Deck &amp; Rehearsal</t>
  </si>
  <si>
    <t>Tag final Git commit as v1.0-final</t>
  </si>
  <si>
    <t>Backend: server-side conflict resolution engine (last-write-wins + versioning)</t>
  </si>
  <si>
    <t>Prepare presentation slide deck with anonymized demo screenshots</t>
  </si>
  <si>
    <t>Backend: synced-record persistence layer</t>
  </si>
  <si>
    <t>Rehearse 20–30 minute live demonstration: CV batch screening, 1-on-1 interview call, and assessment</t>
  </si>
  <si>
    <t>Backend: sync audit trail / change log</t>
  </si>
  <si>
    <t>Sync UI</t>
  </si>
  <si>
    <t>UI/UX: sync status screen design (pending/synced/failed states)</t>
  </si>
  <si>
    <t>Flutter:  sync status list UI (per-record status rendering)</t>
  </si>
  <si>
    <t>Flutter:  manual retry control + per-item status indicator</t>
  </si>
  <si>
    <t>Inspection Details</t>
  </si>
  <si>
    <t>Camera / attach photo</t>
  </si>
  <si>
    <t>UI/UX : capture UI (shutter control, flash toggle, front/back switch)</t>
  </si>
  <si>
    <t>Flutter:  camera plugin integration &amp; platform channel setup</t>
  </si>
  <si>
    <t>Flutter:  runtime camera/storage permission handling (Android/iOS)</t>
  </si>
  <si>
    <t>Flutter:  capture UI (shutter control, flash toggle, front/back switch)</t>
  </si>
  <si>
    <t>Flutter:  preview &amp; retake screen</t>
  </si>
  <si>
    <t>Flutter:  client-side image compression (resize, quality adjustment)</t>
  </si>
  <si>
    <t>Backend: photo upload API endpoint</t>
  </si>
  <si>
    <t>Backend: object storage integration (bucket/CDN) + URL generation</t>
  </si>
  <si>
    <t>Backend: photo metadata persistence (timestamp, checkpoint linkage)</t>
  </si>
  <si>
    <t>Interactive image editing</t>
  </si>
  <si>
    <t>UI/UX : rotate/crop transforms</t>
  </si>
  <si>
    <t>Flutter:  rotate/crop transforms</t>
  </si>
  <si>
    <t>Flutter:  annotation layer (pen/brush/markers) + persistence</t>
  </si>
  <si>
    <t>Attach files</t>
  </si>
  <si>
    <t>UI/UX : file attachment UI (multi-select, progress indicator)</t>
  </si>
  <si>
    <t>Flutter: bulk file picker (up to 10 files) + client-side validation (50MB limit)</t>
  </si>
  <si>
    <t>Flutter: upload progress UI + retry on failure</t>
  </si>
  <si>
    <t>Flutter  –  Queue media locally for later upload</t>
  </si>
  <si>
    <t>Backend: bulk file upload API + storage handling</t>
  </si>
  <si>
    <t>Backend: server-side file size/type validation</t>
  </si>
  <si>
    <t>Attach signature</t>
  </si>
  <si>
    <t>UI/UX design – signature pad screen</t>
  </si>
  <si>
    <t>Flutter: signature drawing canvas component (draw, clear, save as image)</t>
  </si>
  <si>
    <t>Backend: signature image upload/save API</t>
  </si>
  <si>
    <t>Attach from clipboard</t>
  </si>
  <si>
    <t>Flutter: clipboard read &amp; paste-into-field logic</t>
  </si>
  <si>
    <t>Duplicate</t>
  </si>
  <si>
    <t>Flutter:  duplicate checkpoint (UI trigger + state clone)</t>
  </si>
  <si>
    <t>Backend: duplicate record creation</t>
  </si>
  <si>
    <t>Get PDF</t>
  </si>
  <si>
    <t>UI/UX design : PDF preview/download UI</t>
  </si>
  <si>
    <t>Flutter:  PDF generation trigger UI (button, progress/loading state)</t>
  </si>
  <si>
    <t>Flutter:  PDF viewer/preview screen integration</t>
  </si>
  <si>
    <t>Flutter:  native share/export sheet integration</t>
  </si>
  <si>
    <t>Backend: PDF template design &amp; layout engine setup</t>
  </si>
  <si>
    <t>Backend: data-binding service (map checklist data → template fields)</t>
  </si>
  <si>
    <t>Backend: PDF generation service</t>
  </si>
  <si>
    <t>Backend: PDF object storage integration</t>
  </si>
  <si>
    <t>Backend: A secure system that creates temporary links to download PDF files safely and smoothly.</t>
  </si>
  <si>
    <t>Mail</t>
  </si>
  <si>
    <t>UI/UX design : A screen for sending or sharing content where users type the recipient, subject, and message.</t>
  </si>
  <si>
    <t>Flutter: mail trigger &amp; recipient entry UI</t>
  </si>
  <si>
    <t>Backend: email sending service (attach PDF/report, SMTP/API integration)</t>
  </si>
  <si>
    <t>Delete</t>
  </si>
  <si>
    <t>UI/UX design : delete confirmation dialog</t>
  </si>
  <si>
    <t>Flutter: delete confirmation dialog</t>
  </si>
  <si>
    <t>Backend: soft-delete API + DB update</t>
  </si>
  <si>
    <t>9</t>
  </si>
  <si>
    <t>Notifications</t>
  </si>
  <si>
    <t>Notification</t>
  </si>
  <si>
    <t>UI/UX : notification list + unread badge</t>
  </si>
  <si>
    <t>SQA Factor</t>
  </si>
  <si>
    <t>Flutter:  push notification  infra (FCM) &amp; token registration</t>
  </si>
  <si>
    <t>Flutter:  An in-app message center that takes users directly to the right page when tapped.</t>
  </si>
  <si>
    <t>Backend: notification trigger + dispatch API (push + email)</t>
  </si>
  <si>
    <t>Backend: notification store + read/unread state</t>
  </si>
  <si>
    <t>DB: show offline data (Insert / update / Delete)</t>
  </si>
  <si>
    <t>Total(man-days)</t>
  </si>
  <si>
    <t>Total(man-months)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</si>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</sst>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0.0"/>
      <color theme="1"/>
      <name val="Calibri"/>
    </font>
    <font>
      <b/>
      <sz val="10.0"/>
      <color theme="1"/>
      <name val="Calibri"/>
    </font>
    <font>
      <b/>
      <sz val="10.0"/>
      <color rgb="FFFFFFFF"/>
      <name val="Calibri"/>
    </font>
    <font/>
    <font>
      <sz val="10.0"/>
      <color rgb="FF000000"/>
      <name val="Calibri"/>
    </font>
    <font>
      <sz val="10.0"/>
      <color rgb="FF000000"/>
      <name val="Arial"/>
    </font>
    <font>
      <sz val="10.0"/>
      <color theme="1"/>
      <name val="Arial"/>
    </font>
    <font>
      <sz val="10.0"/>
      <color rgb="FF0D0D0D"/>
      <name val="Calibri"/>
    </font>
    <font>
      <b/>
      <sz val="10.0"/>
      <color rgb="FF000000"/>
      <name val="Calibri"/>
    </font>
    <font>
      <b/>
      <sz val="10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70C0"/>
        <bgColor rgb="FF0070C0"/>
      </patternFill>
    </fill>
    <fill>
      <patternFill patternType="solid">
        <fgColor rgb="FFEA9999"/>
        <bgColor rgb="FFEA9999"/>
      </patternFill>
    </fill>
    <fill>
      <patternFill patternType="solid">
        <fgColor rgb="FF9FC5E8"/>
        <bgColor rgb="FF9FC5E8"/>
      </patternFill>
    </fill>
    <fill>
      <patternFill patternType="solid">
        <fgColor rgb="FFD9D2E9"/>
        <bgColor rgb="FFD9D2E9"/>
      </patternFill>
    </fill>
    <fill>
      <patternFill patternType="solid">
        <fgColor rgb="FF4A86E8"/>
        <bgColor rgb="FF4A86E8"/>
      </patternFill>
    </fill>
    <fill>
      <patternFill patternType="solid">
        <fgColor rgb="FF93BBE8"/>
        <bgColor rgb="FF93BBE8"/>
      </patternFill>
    </fill>
    <fill>
      <patternFill patternType="solid">
        <fgColor rgb="FFFFE599"/>
        <bgColor rgb="FFFFE599"/>
      </patternFill>
    </fill>
  </fills>
  <borders count="14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2" fontId="1" numFmtId="0" xfId="0" applyAlignment="1" applyBorder="1" applyFill="1" applyFont="1">
      <alignment horizontal="left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2" fontId="1" numFmtId="0" xfId="0" applyAlignment="1" applyBorder="1" applyFill="1" applyFont="1">
      <alignment horizontal="left" shrinkToFit="0" vertical="top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bottom" wrapText="0"/>
    </xf>
    <xf borderId="2" fillId="3" fontId="3" numFmtId="0" xfId="0" applyAlignment="1" applyBorder="1" applyFill="1" applyFont="1">
      <alignment horizontal="center" shrinkToFit="0" vertical="center" wrapText="1"/>
    </xf>
    <xf borderId="2" fillId="3" fontId="3" numFmtId="0" xfId="0" applyAlignment="1" applyBorder="1" applyFill="1" applyFont="1">
      <alignment horizontal="left" shrinkToFit="0" vertical="center" wrapText="1"/>
    </xf>
    <xf borderId="2" fillId="3" fontId="3" numFmtId="0" xfId="0" applyAlignment="1" applyBorder="1" applyFill="1" applyFont="1">
      <alignment horizontal="center" shrinkToFit="0" vertical="center" wrapText="0"/>
    </xf>
    <xf borderId="2" fillId="4" fontId="2" numFmtId="0" xfId="0" applyAlignment="1" applyBorder="1" applyFill="1" applyFont="1">
      <alignment horizontal="center" shrinkToFit="0" vertical="center" wrapText="1"/>
    </xf>
    <xf borderId="2" fillId="5" fontId="2" numFmtId="0" xfId="0" applyAlignment="1" applyBorder="1" applyFill="1" applyFont="1">
      <alignment horizontal="center" shrinkToFit="0" vertical="center" wrapText="1"/>
    </xf>
    <xf borderId="2" fillId="6" fontId="2" numFmtId="0" xfId="0" applyAlignment="1" applyBorder="1" applyFill="1" applyFont="1">
      <alignment horizontal="center" shrinkToFit="0" vertical="center" wrapText="1"/>
    </xf>
    <xf borderId="2" fillId="7" fontId="3" numFmtId="0" xfId="0" applyAlignment="1" applyBorder="1" applyFill="1" applyFon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5" fillId="8" fontId="2" numFmtId="49" xfId="0" applyAlignment="1" applyBorder="1" applyFill="1" applyFont="1" applyNumberFormat="1">
      <alignment horizontal="center" shrinkToFit="0" vertical="center" wrapText="1"/>
    </xf>
    <xf borderId="6" fillId="8" fontId="2" numFmtId="49" xfId="0" applyAlignment="1" applyBorder="1" applyFill="1" applyFont="1" applyNumberFormat="1">
      <alignment horizontal="left" shrinkToFit="0" vertical="center" wrapText="0"/>
    </xf>
    <xf borderId="5" fillId="8" fontId="2" numFmtId="49" xfId="0" applyAlignment="1" applyBorder="1" applyFill="1" applyFont="1" applyNumberFormat="1">
      <alignment horizontal="left" shrinkToFit="0" vertical="center" wrapText="1"/>
    </xf>
    <xf borderId="5" fillId="8" fontId="1" numFmtId="49" xfId="0" applyAlignment="1" applyBorder="1" applyFill="1" applyFont="1" applyNumberFormat="1">
      <alignment horizontal="left" shrinkToFit="0" vertical="center" wrapText="0"/>
    </xf>
    <xf borderId="5" fillId="8" fontId="1" numFmtId="49" xfId="0" applyAlignment="1" applyBorder="1" applyFill="1" applyFont="1" applyNumberFormat="1">
      <alignment horizontal="left" shrinkToFit="0" vertical="center" wrapText="1"/>
    </xf>
    <xf borderId="7" fillId="8" fontId="1" numFmtId="0" xfId="0" applyAlignment="1" applyBorder="1" applyFill="1" applyFont="1">
      <alignment horizontal="left" shrinkToFit="0" vertical="center" wrapText="0"/>
    </xf>
    <xf borderId="5" fillId="8" fontId="1" numFmtId="0" xfId="0" applyAlignment="1" applyBorder="1" applyFill="1" applyFont="1">
      <alignment horizontal="left" shrinkToFit="0" vertical="top" wrapText="1"/>
    </xf>
    <xf borderId="5" fillId="8" fontId="2" numFmtId="2" xfId="0" applyAlignment="1" applyBorder="1" applyFill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5" fillId="0" fontId="1" numFmtId="49" xfId="0" applyAlignment="1" applyBorder="1" applyFont="1" applyNumberFormat="1">
      <alignment horizontal="left" shrinkToFit="0" vertical="center" wrapText="1"/>
    </xf>
    <xf borderId="8" fillId="0" fontId="1" numFmtId="49" xfId="0" applyAlignment="1" applyBorder="1" applyFont="1" applyNumberFormat="1">
      <alignment horizontal="left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left" shrinkToFit="0" vertical="top" wrapText="1"/>
    </xf>
    <xf borderId="9" fillId="2" fontId="1" numFmtId="2" xfId="0" applyAlignment="1" applyBorder="1" applyFill="1" applyFont="1" applyNumberFormat="1">
      <alignment horizontal="center" shrinkToFit="0" vertical="center" wrapText="0"/>
    </xf>
    <xf borderId="5" fillId="0" fontId="1" numFmtId="2" xfId="0" applyAlignment="1" applyBorder="1" applyFont="1" applyNumberFormat="1">
      <alignment horizontal="center" shrinkToFit="0" vertical="center" wrapText="1"/>
    </xf>
    <xf borderId="10" fillId="2" fontId="1" numFmtId="2" xfId="0" applyAlignment="1" applyBorder="1" applyFill="1" applyFont="1" applyNumberFormat="1">
      <alignment horizontal="left" shrinkToFit="0" vertical="center" wrapText="1"/>
    </xf>
    <xf borderId="5" fillId="2" fontId="1" numFmtId="2" xfId="0" applyAlignment="1" applyBorder="1" applyFill="1" applyFont="1" applyNumberFormat="1">
      <alignment horizontal="center" shrinkToFit="0" vertical="center" wrapText="1"/>
    </xf>
    <xf borderId="5" fillId="2" fontId="2" numFmtId="2" xfId="0" applyAlignment="1" applyBorder="1" applyFill="1" applyFont="1" applyNumberFormat="1">
      <alignment horizontal="center" shrinkToFit="0" vertical="center" wrapText="1"/>
    </xf>
    <xf borderId="11" fillId="0" fontId="4" numFmtId="0" xfId="0" applyBorder="1" applyFont="1"/>
    <xf borderId="2" fillId="0" fontId="5" numFmtId="0" xfId="0" applyAlignment="1" applyBorder="1" applyFont="1">
      <alignment horizontal="left" shrinkToFit="0" vertical="center" wrapText="1"/>
    </xf>
    <xf borderId="5" fillId="0" fontId="6" numFmtId="0" xfId="0" applyAlignment="1" applyBorder="1" applyFont="1">
      <alignment shrinkToFit="0" vertical="top" wrapText="0"/>
    </xf>
    <xf borderId="9" fillId="2" fontId="1" numFmtId="2" xfId="0" applyAlignment="1" applyBorder="1" applyFill="1" applyFont="1" applyNumberFormat="1">
      <alignment horizontal="center" shrinkToFit="0" vertical="center" wrapText="1"/>
    </xf>
    <xf borderId="5" fillId="0" fontId="7" numFmtId="0" xfId="0" applyAlignment="1" applyBorder="1" applyFont="1">
      <alignment horizontal="left" shrinkToFit="0" vertical="top" wrapText="1"/>
    </xf>
    <xf borderId="5" fillId="2" fontId="8" numFmtId="2" xfId="0" applyAlignment="1" applyBorder="1" applyFill="1" applyFont="1" applyNumberFormat="1">
      <alignment horizontal="left" shrinkToFit="0" vertical="center" wrapText="1"/>
    </xf>
    <xf borderId="5" fillId="2" fontId="1" numFmtId="2" xfId="0" applyAlignment="1" applyBorder="1" applyFill="1" applyFont="1" applyNumberFormat="1">
      <alignment horizontal="left" shrinkToFit="0" vertical="top" wrapText="1"/>
    </xf>
    <xf borderId="2" fillId="2" fontId="8" numFmtId="2" xfId="0" applyAlignment="1" applyBorder="1" applyFill="1" applyFont="1" applyNumberFormat="1">
      <alignment horizontal="left" shrinkToFit="0" vertical="center" wrapText="1"/>
    </xf>
    <xf borderId="5" fillId="2" fontId="7" numFmtId="0" xfId="0" applyAlignment="1" applyBorder="1" applyFill="1" applyFont="1">
      <alignment horizontal="left" shrinkToFit="0" vertical="top" wrapText="1"/>
    </xf>
    <xf borderId="12" fillId="2" fontId="8" numFmtId="2" xfId="0" applyAlignment="1" applyBorder="1" applyFill="1" applyFont="1" applyNumberFormat="1">
      <alignment horizontal="left" shrinkToFit="0" vertical="center" wrapText="0"/>
    </xf>
    <xf borderId="5" fillId="2" fontId="1" numFmtId="2" xfId="0" applyAlignment="1" applyBorder="1" applyFill="1" applyFont="1" applyNumberFormat="1">
      <alignment horizontal="left" shrinkToFit="0" vertical="center" wrapText="1"/>
    </xf>
    <xf borderId="5" fillId="0" fontId="5" numFmtId="49" xfId="0" applyAlignment="1" applyBorder="1" applyFont="1" applyNumberFormat="1">
      <alignment shrinkToFit="0" vertical="center" wrapText="1"/>
    </xf>
    <xf borderId="2" fillId="0" fontId="7" numFmtId="0" xfId="0" applyAlignment="1" applyBorder="1" applyFont="1">
      <alignment horizontal="left" shrinkToFit="0" vertical="center" wrapText="1"/>
    </xf>
    <xf borderId="5" fillId="0" fontId="7" numFmtId="2" xfId="0" applyAlignment="1" applyBorder="1" applyFont="1" applyNumberFormat="1">
      <alignment horizontal="center" shrinkToFit="0" vertical="center" wrapText="1"/>
    </xf>
    <xf borderId="10" fillId="2" fontId="1" numFmtId="2" xfId="0" applyAlignment="1" applyBorder="1" applyFill="1" applyFont="1" applyNumberFormat="1">
      <alignment horizontal="center" shrinkToFit="0" vertical="center" wrapText="1"/>
    </xf>
    <xf borderId="5" fillId="0" fontId="5" numFmtId="2" xfId="0" applyAlignment="1" applyBorder="1" applyFont="1" applyNumberFormat="1">
      <alignment shrinkToFit="0" vertical="top" wrapText="1"/>
    </xf>
    <xf borderId="5" fillId="0" fontId="6" numFmtId="0" xfId="0" applyAlignment="1" applyBorder="1" applyFont="1">
      <alignment shrinkToFit="0" vertical="bottom" wrapText="0"/>
    </xf>
    <xf borderId="11" fillId="0" fontId="6" numFmtId="0" xfId="0" applyAlignment="1" applyBorder="1" applyFont="1">
      <alignment shrinkToFit="0" vertical="bottom" wrapText="0"/>
    </xf>
    <xf borderId="5" fillId="0" fontId="6" numFmtId="2" xfId="0" applyAlignment="1" applyBorder="1" applyFont="1" applyNumberFormat="1">
      <alignment horizontal="center" shrinkToFit="0" vertical="bottom" wrapText="0"/>
    </xf>
    <xf borderId="8" fillId="0" fontId="5" numFmtId="49" xfId="0" applyAlignment="1" applyBorder="1" applyFont="1" applyNumberFormat="1">
      <alignment shrinkToFit="0" vertical="center" wrapText="1"/>
    </xf>
    <xf borderId="2" fillId="2" fontId="7" numFmtId="0" xfId="0" applyAlignment="1" applyBorder="1" applyFill="1" applyFont="1">
      <alignment horizontal="left" shrinkToFit="0" vertical="center" wrapText="1"/>
    </xf>
    <xf borderId="0" fillId="0" fontId="7" numFmtId="0" xfId="0" applyAlignment="1" applyFont="1">
      <alignment horizontal="left" shrinkToFit="0" vertical="top" wrapText="1"/>
    </xf>
    <xf borderId="13" fillId="0" fontId="7" numFmtId="0" xfId="0" applyAlignment="1" applyBorder="1" applyFont="1">
      <alignment horizontal="left" shrinkToFit="0" vertical="top" wrapText="1"/>
    </xf>
    <xf borderId="5" fillId="8" fontId="9" numFmtId="0" xfId="0" applyAlignment="1" applyBorder="1" applyFill="1" applyFont="1">
      <alignment shrinkToFit="0" vertical="bottom" wrapText="0"/>
    </xf>
    <xf borderId="5" fillId="8" fontId="6" numFmtId="0" xfId="0" applyAlignment="1" applyBorder="1" applyFill="1" applyFont="1">
      <alignment shrinkToFit="0" vertical="bottom" wrapText="0"/>
    </xf>
    <xf borderId="5" fillId="8" fontId="6" numFmtId="0" xfId="0" applyAlignment="1" applyBorder="1" applyFill="1" applyFont="1">
      <alignment shrinkToFit="0" vertical="top" wrapText="0"/>
    </xf>
    <xf borderId="2" fillId="0" fontId="6" numFmtId="0" xfId="0" applyAlignment="1" applyBorder="1" applyFont="1">
      <alignment shrinkToFit="0" vertical="bottom" wrapText="0"/>
    </xf>
    <xf borderId="5" fillId="0" fontId="6" numFmtId="0" xfId="0" applyAlignment="1" applyBorder="1" applyFont="1">
      <alignment shrinkToFit="0" vertical="top" wrapText="1"/>
    </xf>
    <xf borderId="5" fillId="0" fontId="6" numFmtId="0" xfId="0" applyAlignment="1" applyBorder="1" applyFont="1">
      <alignment horizontal="left" shrinkToFit="0" vertical="top" wrapText="1"/>
    </xf>
    <xf borderId="1" fillId="2" fontId="6" numFmtId="0" xfId="0" applyAlignment="1" applyBorder="1" applyFill="1" applyFont="1">
      <alignment shrinkToFit="0" vertical="bottom" wrapText="0"/>
    </xf>
    <xf borderId="2" fillId="2" fontId="10" numFmtId="0" xfId="0" applyAlignment="1" applyBorder="1" applyFill="1" applyFont="1">
      <alignment horizontal="left" shrinkToFit="0" vertical="center" wrapText="1"/>
    </xf>
    <xf borderId="5" fillId="9" fontId="1" numFmtId="0" xfId="0" applyAlignment="1" applyBorder="1" applyFill="1" applyFont="1">
      <alignment shrinkToFit="0" vertical="center" wrapText="0"/>
    </xf>
    <xf borderId="5" fillId="9" fontId="1" numFmtId="0" xfId="0" applyAlignment="1" applyBorder="1" applyFill="1" applyFont="1">
      <alignment shrinkToFit="0" vertical="center" wrapText="1"/>
    </xf>
    <xf borderId="5" fillId="9" fontId="7" numFmtId="0" xfId="0" applyAlignment="1" applyBorder="1" applyFill="1" applyFont="1">
      <alignment shrinkToFit="0" vertical="center" wrapText="1"/>
    </xf>
    <xf borderId="5" fillId="9" fontId="7" numFmtId="0" xfId="0" applyAlignment="1" applyBorder="1" applyFill="1" applyFont="1">
      <alignment shrinkToFit="0" vertical="center" wrapText="0"/>
    </xf>
    <xf borderId="5" fillId="9" fontId="2" numFmtId="2" xfId="0" applyAlignment="1" applyBorder="1" applyFill="1" applyFont="1" applyNumberFormat="1">
      <alignment horizontal="center" shrinkToFit="0" vertical="center" wrapText="0"/>
    </xf>
    <xf borderId="5" fillId="2" fontId="2" numFmtId="49" xfId="0" applyAlignment="1" applyBorder="1" applyFill="1" applyFont="1" applyNumberFormat="1">
      <alignment horizontal="center" shrinkToFit="0" vertical="center" wrapText="1"/>
    </xf>
    <xf borderId="5" fillId="2" fontId="2" numFmtId="49" xfId="0" applyAlignment="1" applyBorder="1" applyFill="1" applyFont="1" applyNumberFormat="1">
      <alignment horizontal="left" shrinkToFit="0" vertical="center" wrapText="1"/>
    </xf>
    <xf borderId="1" fillId="2" fontId="1" numFmtId="0" xfId="0" applyAlignment="1" applyBorder="1" applyFill="1" applyFont="1">
      <alignment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6" numFmtId="0" xfId="0" applyAlignment="1" applyBorder="1" applyFill="1" applyFont="1">
      <alignment horizontal="left" shrinkToFit="0" vertical="center" wrapText="0"/>
    </xf>
    <xf borderId="5" fillId="0" fontId="7" numFmtId="0" xfId="0" applyAlignment="1" applyBorder="1" applyFont="1">
      <alignment horizontal="left" shrinkToFit="0" vertical="top" wrapText="0"/>
    </xf>
    <xf borderId="5" fillId="2" fontId="7" numFmtId="0" xfId="0" applyAlignment="1" applyBorder="1" applyFill="1" applyFont="1">
      <alignment horizontal="left" shrinkToFit="0" vertical="center" wrapText="1"/>
    </xf>
    <xf borderId="2" fillId="2" fontId="7" numFmtId="0" xfId="0" applyAlignment="1" applyBorder="1" applyFill="1" applyFont="1">
      <alignment horizontal="center" shrinkToFit="0" vertical="center" wrapText="1"/>
    </xf>
    <xf borderId="5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5" fillId="2" fontId="10" numFmtId="0" xfId="0" applyAlignment="1" applyBorder="1" applyFill="1" applyFont="1">
      <alignment horizontal="left" shrinkToFit="0" vertical="center" wrapText="1"/>
    </xf>
    <xf borderId="5" fillId="9" fontId="7" numFmtId="0" xfId="0" applyAlignment="1" applyBorder="1" applyFill="1" applyFont="1">
      <alignment horizontal="left" shrinkToFit="0" vertical="center" wrapText="1"/>
    </xf>
    <xf borderId="5" fillId="9" fontId="10" numFmtId="0" xfId="0" applyAlignment="1" applyBorder="1" applyFill="1" applyFont="1">
      <alignment horizontal="right" shrinkToFit="0" vertical="top" wrapText="0"/>
    </xf>
    <xf borderId="5" fillId="9" fontId="1" numFmtId="0" xfId="0" applyAlignment="1" applyBorder="1" applyFill="1" applyFont="1">
      <alignment horizontal="left" shrinkToFit="0" vertical="center" wrapText="1"/>
    </xf>
    <xf borderId="5" fillId="9" fontId="2" numFmtId="0" xfId="0" applyAlignment="1" applyBorder="1" applyFill="1" applyFont="1">
      <alignment horizontal="right" shrinkToFit="0" vertical="top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4.38"/>
    <col customWidth="1" min="2" max="2" width="24.25"/>
    <col customWidth="1" min="3" max="3" width="29.13"/>
    <col customWidth="1" min="4" max="4" width="70.13"/>
    <col customWidth="1" min="5" max="5" width="9.13"/>
    <col customWidth="1" min="6" max="6" width="9.75"/>
    <col customWidth="1" min="7" max="7" width="9.13"/>
    <col customWidth="1" min="8" max="8" width="9.0"/>
    <col customWidth="1" min="9" max="9" width="8.88"/>
    <col customWidth="1" min="10" max="10" width="8.25"/>
    <col customWidth="1" min="11" max="11" width="15.0"/>
    <col customWidth="1" min="12" max="12" width="8.38"/>
  </cols>
  <sheetData>
    <row r="1" ht="13.5" customHeight="1">
      <c r="A1" s="1"/>
      <c r="B1" s="2"/>
      <c r="C1" s="2"/>
      <c r="D1" s="2"/>
      <c r="E1" s="3"/>
      <c r="F1" s="3"/>
      <c r="G1" s="5"/>
      <c r="H1" s="5"/>
      <c r="I1" s="5"/>
      <c r="J1" s="5"/>
      <c r="K1" s="5"/>
      <c r="L1" s="5"/>
      <c r="M1" s="5"/>
      <c r="N1" s="5"/>
      <c r="O1" s="6"/>
      <c r="P1" s="6"/>
      <c r="Q1" s="6"/>
      <c r="R1" s="6"/>
      <c r="S1" s="6"/>
      <c r="T1" s="6"/>
    </row>
    <row r="2" ht="24.75" customHeight="1">
      <c r="A2" s="7" t="s">
        <v>0</v>
      </c>
      <c r="B2" s="7" t="s">
        <v>1</v>
      </c>
      <c r="C2" s="7" t="s">
        <v>2</v>
      </c>
      <c r="D2" s="8" t="s">
        <v>3</v>
      </c>
      <c r="E2" s="10" t="s">
        <v>4</v>
      </c>
      <c r="F2" s="11" t="s">
        <v>6</v>
      </c>
      <c r="G2" s="12" t="s">
        <v>8</v>
      </c>
      <c r="H2" s="12" t="s">
        <v>10</v>
      </c>
      <c r="I2" s="13" t="s">
        <v>12</v>
      </c>
      <c r="J2" s="13" t="s">
        <v>13</v>
      </c>
      <c r="K2" s="5"/>
      <c r="L2" s="5"/>
      <c r="M2" s="5"/>
      <c r="N2" s="5"/>
      <c r="O2" s="6"/>
      <c r="P2" s="6"/>
      <c r="Q2" s="6"/>
      <c r="R2" s="6"/>
      <c r="S2" s="6"/>
      <c r="T2" s="6"/>
    </row>
    <row r="3" ht="30.0" customHeight="1">
      <c r="A3" s="14"/>
      <c r="B3" s="14"/>
      <c r="C3" s="14"/>
      <c r="D3" s="14"/>
      <c r="E3" s="14"/>
      <c r="F3" s="14"/>
      <c r="G3" s="14"/>
      <c r="H3" s="14"/>
      <c r="I3" s="14"/>
      <c r="J3" s="14"/>
      <c r="K3" s="5"/>
      <c r="L3" s="5"/>
      <c r="M3" s="5"/>
      <c r="N3" s="5"/>
      <c r="O3" s="6"/>
      <c r="P3" s="6"/>
      <c r="Q3" s="6"/>
      <c r="R3" s="6"/>
      <c r="S3" s="6"/>
      <c r="T3" s="6"/>
    </row>
    <row r="4" ht="46.5" customHeight="1">
      <c r="A4" s="16" t="s">
        <v>14</v>
      </c>
      <c r="B4" s="17" t="s">
        <v>15</v>
      </c>
      <c r="C4" s="19"/>
      <c r="D4" s="21"/>
      <c r="E4" s="23">
        <f t="shared" ref="E4:I4" si="1">SUM(E5:E15)</f>
        <v>0</v>
      </c>
      <c r="F4" s="23">
        <f t="shared" si="1"/>
        <v>2.5</v>
      </c>
      <c r="G4" s="23">
        <f t="shared" si="1"/>
        <v>15</v>
      </c>
      <c r="H4" s="23">
        <f t="shared" si="1"/>
        <v>6.5</v>
      </c>
      <c r="I4" s="23">
        <f t="shared" si="1"/>
        <v>24</v>
      </c>
      <c r="J4" s="23">
        <f t="shared" ref="J4:J15" si="2">I4/8</f>
        <v>3</v>
      </c>
    </row>
    <row r="5" ht="15.75" customHeight="1">
      <c r="A5" s="24"/>
      <c r="B5" s="26"/>
      <c r="C5" s="29" t="s">
        <v>17</v>
      </c>
      <c r="D5" s="31" t="s">
        <v>19</v>
      </c>
      <c r="E5" s="30">
        <v>0.0</v>
      </c>
      <c r="F5" s="30">
        <v>0.0</v>
      </c>
      <c r="G5" s="30">
        <v>1.25</v>
      </c>
      <c r="H5" s="32">
        <v>0.25</v>
      </c>
      <c r="I5" s="30">
        <f t="shared" ref="I5:I15" si="3">SUM(E5:H5)</f>
        <v>1.5</v>
      </c>
      <c r="J5" s="33">
        <f t="shared" si="2"/>
        <v>0.1875</v>
      </c>
    </row>
    <row r="6" ht="15.75" customHeight="1">
      <c r="A6" s="24"/>
      <c r="B6" s="26"/>
      <c r="C6" s="34"/>
      <c r="D6" s="31" t="s">
        <v>22</v>
      </c>
      <c r="E6" s="30">
        <v>0.0</v>
      </c>
      <c r="F6" s="30">
        <v>0.0</v>
      </c>
      <c r="G6" s="30">
        <v>1.25</v>
      </c>
      <c r="H6" s="32">
        <v>0.25</v>
      </c>
      <c r="I6" s="30">
        <f t="shared" si="3"/>
        <v>1.5</v>
      </c>
      <c r="J6" s="33">
        <f t="shared" si="2"/>
        <v>0.1875</v>
      </c>
    </row>
    <row r="7" ht="15.75" customHeight="1">
      <c r="A7" s="24"/>
      <c r="B7" s="26"/>
      <c r="C7" s="34"/>
      <c r="D7" s="31" t="s">
        <v>24</v>
      </c>
      <c r="E7" s="30">
        <v>0.0</v>
      </c>
      <c r="F7" s="30">
        <v>0.0</v>
      </c>
      <c r="G7" s="30">
        <v>1.0</v>
      </c>
      <c r="H7" s="32">
        <v>0.5</v>
      </c>
      <c r="I7" s="30">
        <f t="shared" si="3"/>
        <v>1.5</v>
      </c>
      <c r="J7" s="33">
        <f t="shared" si="2"/>
        <v>0.1875</v>
      </c>
    </row>
    <row r="8" ht="15.75" customHeight="1">
      <c r="A8" s="24"/>
      <c r="B8" s="26"/>
      <c r="C8" s="15"/>
      <c r="D8" s="31" t="s">
        <v>26</v>
      </c>
      <c r="E8" s="30">
        <v>0.0</v>
      </c>
      <c r="F8" s="30">
        <v>0.0</v>
      </c>
      <c r="G8" s="30">
        <v>1.0</v>
      </c>
      <c r="H8" s="32">
        <v>0.5</v>
      </c>
      <c r="I8" s="30">
        <f t="shared" si="3"/>
        <v>1.5</v>
      </c>
      <c r="J8" s="33">
        <f t="shared" si="2"/>
        <v>0.1875</v>
      </c>
    </row>
    <row r="9" ht="15.75" customHeight="1">
      <c r="A9" s="24"/>
      <c r="B9" s="26"/>
      <c r="C9" s="37" t="s">
        <v>28</v>
      </c>
      <c r="D9" s="31" t="s">
        <v>29</v>
      </c>
      <c r="E9" s="30">
        <v>0.0</v>
      </c>
      <c r="F9" s="30">
        <v>0.5</v>
      </c>
      <c r="G9" s="30">
        <v>1.5</v>
      </c>
      <c r="H9" s="32">
        <v>0.75</v>
      </c>
      <c r="I9" s="30">
        <f t="shared" si="3"/>
        <v>2.75</v>
      </c>
      <c r="J9" s="33">
        <f t="shared" si="2"/>
        <v>0.34375</v>
      </c>
    </row>
    <row r="10" ht="15.75" customHeight="1">
      <c r="A10" s="24"/>
      <c r="B10" s="26"/>
      <c r="C10" s="34"/>
      <c r="D10" s="31" t="s">
        <v>31</v>
      </c>
      <c r="E10" s="30">
        <v>0.0</v>
      </c>
      <c r="F10" s="30">
        <v>0.25</v>
      </c>
      <c r="G10" s="30">
        <v>1.5</v>
      </c>
      <c r="H10" s="32">
        <v>1.0</v>
      </c>
      <c r="I10" s="30">
        <f t="shared" si="3"/>
        <v>2.75</v>
      </c>
      <c r="J10" s="33">
        <f t="shared" si="2"/>
        <v>0.34375</v>
      </c>
    </row>
    <row r="11" ht="15.75" customHeight="1">
      <c r="A11" s="24"/>
      <c r="B11" s="26"/>
      <c r="C11" s="15"/>
      <c r="D11" s="31" t="s">
        <v>32</v>
      </c>
      <c r="E11" s="30">
        <v>0.0</v>
      </c>
      <c r="F11" s="30">
        <v>0.25</v>
      </c>
      <c r="G11" s="30">
        <v>1.5</v>
      </c>
      <c r="H11" s="32">
        <v>0.75</v>
      </c>
      <c r="I11" s="30">
        <f t="shared" si="3"/>
        <v>2.5</v>
      </c>
      <c r="J11" s="33">
        <f t="shared" si="2"/>
        <v>0.3125</v>
      </c>
    </row>
    <row r="12" ht="15.75" customHeight="1">
      <c r="A12" s="24"/>
      <c r="B12" s="26"/>
      <c r="C12" s="37" t="s">
        <v>34</v>
      </c>
      <c r="D12" s="31" t="s">
        <v>36</v>
      </c>
      <c r="E12" s="30">
        <v>0.0</v>
      </c>
      <c r="F12" s="30">
        <v>0.5</v>
      </c>
      <c r="G12" s="30">
        <v>1.5</v>
      </c>
      <c r="H12" s="32">
        <v>0.5</v>
      </c>
      <c r="I12" s="30">
        <f t="shared" si="3"/>
        <v>2.5</v>
      </c>
      <c r="J12" s="33">
        <f t="shared" si="2"/>
        <v>0.3125</v>
      </c>
    </row>
    <row r="13" ht="15.75" customHeight="1">
      <c r="A13" s="24"/>
      <c r="B13" s="26"/>
      <c r="C13" s="34"/>
      <c r="D13" s="31" t="s">
        <v>38</v>
      </c>
      <c r="E13" s="30">
        <v>0.0</v>
      </c>
      <c r="F13" s="30">
        <v>0.5</v>
      </c>
      <c r="G13" s="30">
        <v>1.5</v>
      </c>
      <c r="H13" s="32">
        <v>0.5</v>
      </c>
      <c r="I13" s="30">
        <f t="shared" si="3"/>
        <v>2.5</v>
      </c>
      <c r="J13" s="33">
        <f t="shared" si="2"/>
        <v>0.3125</v>
      </c>
    </row>
    <row r="14" ht="15.75" customHeight="1">
      <c r="A14" s="24"/>
      <c r="B14" s="26"/>
      <c r="C14" s="34"/>
      <c r="D14" s="31" t="s">
        <v>40</v>
      </c>
      <c r="E14" s="30">
        <v>0.0</v>
      </c>
      <c r="F14" s="30">
        <v>0.25</v>
      </c>
      <c r="G14" s="30">
        <v>1.5</v>
      </c>
      <c r="H14" s="32">
        <v>0.75</v>
      </c>
      <c r="I14" s="30">
        <f t="shared" si="3"/>
        <v>2.5</v>
      </c>
      <c r="J14" s="33">
        <f t="shared" si="2"/>
        <v>0.3125</v>
      </c>
    </row>
    <row r="15" ht="15.75" customHeight="1">
      <c r="A15" s="24"/>
      <c r="B15" s="26"/>
      <c r="C15" s="15"/>
      <c r="D15" s="31" t="s">
        <v>42</v>
      </c>
      <c r="E15" s="30">
        <v>0.0</v>
      </c>
      <c r="F15" s="30">
        <v>0.25</v>
      </c>
      <c r="G15" s="30">
        <v>1.5</v>
      </c>
      <c r="H15" s="32">
        <v>0.75</v>
      </c>
      <c r="I15" s="30">
        <f t="shared" si="3"/>
        <v>2.5</v>
      </c>
      <c r="J15" s="33">
        <f t="shared" si="2"/>
        <v>0.3125</v>
      </c>
    </row>
    <row r="16" ht="15.75" customHeight="1">
      <c r="A16" s="24"/>
      <c r="B16" s="25"/>
      <c r="C16" s="43"/>
      <c r="D16" s="44"/>
      <c r="E16" s="30"/>
      <c r="F16" s="30"/>
      <c r="G16" s="30"/>
      <c r="H16" s="30"/>
      <c r="I16" s="30"/>
      <c r="J16" s="30"/>
    </row>
    <row r="17" ht="39.75" customHeight="1">
      <c r="A17" s="16" t="s">
        <v>45</v>
      </c>
      <c r="B17" s="17" t="s">
        <v>46</v>
      </c>
      <c r="C17" s="19"/>
      <c r="D17" s="21"/>
      <c r="E17" s="23">
        <f t="shared" ref="E17:I17" si="4">SUM(E18:E24)</f>
        <v>1</v>
      </c>
      <c r="F17" s="23">
        <f t="shared" si="4"/>
        <v>3.5</v>
      </c>
      <c r="G17" s="23">
        <f t="shared" si="4"/>
        <v>8.5</v>
      </c>
      <c r="H17" s="23">
        <f t="shared" si="4"/>
        <v>3</v>
      </c>
      <c r="I17" s="23">
        <f t="shared" si="4"/>
        <v>16</v>
      </c>
      <c r="J17" s="23">
        <f t="shared" ref="J17:J24" si="5">I17/8</f>
        <v>2</v>
      </c>
    </row>
    <row r="18" ht="15.75" customHeight="1">
      <c r="A18" s="24"/>
      <c r="B18" s="26"/>
      <c r="C18" s="29" t="s">
        <v>51</v>
      </c>
      <c r="D18" s="31" t="s">
        <v>52</v>
      </c>
      <c r="E18" s="30">
        <v>0.5</v>
      </c>
      <c r="F18" s="30">
        <v>0.75</v>
      </c>
      <c r="G18" s="30">
        <v>1.25</v>
      </c>
      <c r="H18" s="32">
        <v>0.25</v>
      </c>
      <c r="I18" s="30">
        <f t="shared" ref="I18:I24" si="6">SUM(E18:H18)</f>
        <v>2.75</v>
      </c>
      <c r="J18" s="33">
        <f t="shared" si="5"/>
        <v>0.34375</v>
      </c>
    </row>
    <row r="19" ht="21.0" customHeight="1">
      <c r="A19" s="24"/>
      <c r="B19" s="26"/>
      <c r="C19" s="34"/>
      <c r="D19" s="31" t="s">
        <v>54</v>
      </c>
      <c r="E19" s="30">
        <v>0.25</v>
      </c>
      <c r="F19" s="30">
        <v>1.0</v>
      </c>
      <c r="G19" s="30">
        <v>1.0</v>
      </c>
      <c r="H19" s="32">
        <v>0.5</v>
      </c>
      <c r="I19" s="30">
        <f t="shared" si="6"/>
        <v>2.75</v>
      </c>
      <c r="J19" s="33">
        <f t="shared" si="5"/>
        <v>0.34375</v>
      </c>
    </row>
    <row r="20" ht="18.75" customHeight="1">
      <c r="A20" s="24"/>
      <c r="B20" s="26"/>
      <c r="C20" s="15"/>
      <c r="D20" s="31" t="s">
        <v>55</v>
      </c>
      <c r="E20" s="30">
        <v>0.25</v>
      </c>
      <c r="F20" s="30">
        <v>0.75</v>
      </c>
      <c r="G20" s="30">
        <v>1.25</v>
      </c>
      <c r="H20" s="32">
        <v>0.25</v>
      </c>
      <c r="I20" s="30">
        <f t="shared" si="6"/>
        <v>2.5</v>
      </c>
      <c r="J20" s="33">
        <f t="shared" si="5"/>
        <v>0.3125</v>
      </c>
    </row>
    <row r="21" ht="15.75" customHeight="1">
      <c r="A21" s="24"/>
      <c r="B21" s="26"/>
      <c r="C21" s="37" t="s">
        <v>56</v>
      </c>
      <c r="D21" s="31" t="s">
        <v>58</v>
      </c>
      <c r="E21" s="30">
        <v>0.0</v>
      </c>
      <c r="F21" s="30">
        <v>0.25</v>
      </c>
      <c r="G21" s="30">
        <v>1.25</v>
      </c>
      <c r="H21" s="32">
        <v>0.5</v>
      </c>
      <c r="I21" s="30">
        <f t="shared" si="6"/>
        <v>2</v>
      </c>
      <c r="J21" s="33">
        <f t="shared" si="5"/>
        <v>0.25</v>
      </c>
    </row>
    <row r="22" ht="15.75" customHeight="1">
      <c r="A22" s="24"/>
      <c r="B22" s="26"/>
      <c r="C22" s="34"/>
      <c r="D22" s="31" t="s">
        <v>60</v>
      </c>
      <c r="E22" s="30">
        <v>0.0</v>
      </c>
      <c r="F22" s="30">
        <v>0.25</v>
      </c>
      <c r="G22" s="30">
        <v>1.25</v>
      </c>
      <c r="H22" s="32">
        <v>0.5</v>
      </c>
      <c r="I22" s="30">
        <f t="shared" si="6"/>
        <v>2</v>
      </c>
      <c r="J22" s="33">
        <f t="shared" si="5"/>
        <v>0.25</v>
      </c>
    </row>
    <row r="23" ht="15.75" customHeight="1">
      <c r="A23" s="24"/>
      <c r="B23" s="26"/>
      <c r="C23" s="34"/>
      <c r="D23" s="31" t="s">
        <v>61</v>
      </c>
      <c r="E23" s="30">
        <v>0.0</v>
      </c>
      <c r="F23" s="30">
        <v>0.25</v>
      </c>
      <c r="G23" s="30">
        <v>1.25</v>
      </c>
      <c r="H23" s="32">
        <v>0.5</v>
      </c>
      <c r="I23" s="30">
        <f t="shared" si="6"/>
        <v>2</v>
      </c>
      <c r="J23" s="33">
        <f t="shared" si="5"/>
        <v>0.25</v>
      </c>
    </row>
    <row r="24" ht="15.75" customHeight="1">
      <c r="A24" s="24"/>
      <c r="B24" s="26"/>
      <c r="C24" s="15"/>
      <c r="D24" s="31" t="s">
        <v>62</v>
      </c>
      <c r="E24" s="30">
        <v>0.0</v>
      </c>
      <c r="F24" s="30">
        <v>0.25</v>
      </c>
      <c r="G24" s="30">
        <v>1.25</v>
      </c>
      <c r="H24" s="32">
        <v>0.5</v>
      </c>
      <c r="I24" s="30">
        <f t="shared" si="6"/>
        <v>2</v>
      </c>
      <c r="J24" s="33">
        <f t="shared" si="5"/>
        <v>0.25</v>
      </c>
    </row>
    <row r="25" ht="15.75" customHeight="1">
      <c r="A25" s="24"/>
      <c r="B25" s="25"/>
      <c r="C25" s="43"/>
      <c r="D25" s="44"/>
      <c r="E25" s="30"/>
      <c r="F25" s="30"/>
      <c r="G25" s="30"/>
      <c r="H25" s="30"/>
      <c r="I25" s="30"/>
      <c r="J25" s="30"/>
    </row>
    <row r="26" ht="40.5" customHeight="1">
      <c r="A26" s="16" t="s">
        <v>63</v>
      </c>
      <c r="B26" s="17" t="s">
        <v>64</v>
      </c>
      <c r="C26" s="19"/>
      <c r="D26" s="21"/>
      <c r="E26" s="23">
        <f t="shared" ref="E26:I26" si="7">SUM(E27:E42)</f>
        <v>1.5</v>
      </c>
      <c r="F26" s="23">
        <f t="shared" si="7"/>
        <v>4.5</v>
      </c>
      <c r="G26" s="23">
        <f t="shared" si="7"/>
        <v>13.5</v>
      </c>
      <c r="H26" s="23">
        <f t="shared" si="7"/>
        <v>4.5</v>
      </c>
      <c r="I26" s="23">
        <f t="shared" si="7"/>
        <v>24</v>
      </c>
      <c r="J26" s="23">
        <f t="shared" ref="J26:J42" si="8">I26/8</f>
        <v>3</v>
      </c>
    </row>
    <row r="27" ht="15.75" customHeight="1">
      <c r="A27" s="24"/>
      <c r="B27" s="26"/>
      <c r="C27" s="29" t="s">
        <v>68</v>
      </c>
      <c r="D27" s="31" t="s">
        <v>69</v>
      </c>
      <c r="E27" s="30">
        <v>0.25</v>
      </c>
      <c r="F27" s="30">
        <v>0.5</v>
      </c>
      <c r="G27" s="30">
        <v>0.75</v>
      </c>
      <c r="H27" s="32">
        <v>0.0</v>
      </c>
      <c r="I27" s="30">
        <f t="shared" ref="I27:I42" si="9">SUM(E27:H27)</f>
        <v>1.5</v>
      </c>
      <c r="J27" s="33">
        <f t="shared" si="8"/>
        <v>0.1875</v>
      </c>
    </row>
    <row r="28" ht="15.75" customHeight="1">
      <c r="A28" s="24"/>
      <c r="B28" s="26"/>
      <c r="C28" s="34"/>
      <c r="D28" s="31" t="s">
        <v>71</v>
      </c>
      <c r="E28" s="30">
        <v>0.25</v>
      </c>
      <c r="F28" s="30">
        <v>0.5</v>
      </c>
      <c r="G28" s="30">
        <v>0.5</v>
      </c>
      <c r="H28" s="32">
        <v>0.25</v>
      </c>
      <c r="I28" s="30">
        <f t="shared" si="9"/>
        <v>1.5</v>
      </c>
      <c r="J28" s="33">
        <f t="shared" si="8"/>
        <v>0.1875</v>
      </c>
    </row>
    <row r="29" ht="18.0" customHeight="1">
      <c r="A29" s="24"/>
      <c r="B29" s="26"/>
      <c r="C29" s="15"/>
      <c r="D29" s="31" t="s">
        <v>73</v>
      </c>
      <c r="E29" s="30">
        <v>0.0</v>
      </c>
      <c r="F29" s="30">
        <v>0.5</v>
      </c>
      <c r="G29" s="30">
        <v>0.75</v>
      </c>
      <c r="H29" s="32">
        <v>0.25</v>
      </c>
      <c r="I29" s="30">
        <f t="shared" si="9"/>
        <v>1.5</v>
      </c>
      <c r="J29" s="33">
        <f t="shared" si="8"/>
        <v>0.1875</v>
      </c>
    </row>
    <row r="30" ht="47.25" customHeight="1">
      <c r="A30" s="24"/>
      <c r="B30" s="26"/>
      <c r="C30" s="48" t="s">
        <v>75</v>
      </c>
      <c r="D30" s="31" t="s">
        <v>76</v>
      </c>
      <c r="E30" s="30">
        <v>0.0</v>
      </c>
      <c r="F30" s="30">
        <v>0.5</v>
      </c>
      <c r="G30" s="30">
        <v>2.5</v>
      </c>
      <c r="H30" s="32">
        <v>1.0</v>
      </c>
      <c r="I30" s="30">
        <f t="shared" si="9"/>
        <v>4</v>
      </c>
      <c r="J30" s="33">
        <f t="shared" si="8"/>
        <v>0.5</v>
      </c>
    </row>
    <row r="31" ht="15.75" customHeight="1">
      <c r="A31" s="24"/>
      <c r="B31" s="26"/>
      <c r="C31" s="37" t="s">
        <v>77</v>
      </c>
      <c r="D31" s="31" t="s">
        <v>78</v>
      </c>
      <c r="E31" s="30">
        <v>0.25</v>
      </c>
      <c r="F31" s="30">
        <v>0.25</v>
      </c>
      <c r="G31" s="30">
        <v>0.75</v>
      </c>
      <c r="H31" s="32">
        <v>0.25</v>
      </c>
      <c r="I31" s="30">
        <f t="shared" si="9"/>
        <v>1.5</v>
      </c>
      <c r="J31" s="33">
        <f t="shared" si="8"/>
        <v>0.1875</v>
      </c>
    </row>
    <row r="32" ht="15.75" customHeight="1">
      <c r="A32" s="24"/>
      <c r="B32" s="26"/>
      <c r="C32" s="34"/>
      <c r="D32" s="31" t="s">
        <v>80</v>
      </c>
      <c r="E32" s="30">
        <v>0.25</v>
      </c>
      <c r="F32" s="30">
        <v>0.25</v>
      </c>
      <c r="G32" s="30">
        <v>0.75</v>
      </c>
      <c r="H32" s="32">
        <v>0.25</v>
      </c>
      <c r="I32" s="30">
        <f t="shared" si="9"/>
        <v>1.5</v>
      </c>
      <c r="J32" s="33">
        <f t="shared" si="8"/>
        <v>0.1875</v>
      </c>
    </row>
    <row r="33" ht="15.75" customHeight="1">
      <c r="A33" s="24"/>
      <c r="B33" s="26"/>
      <c r="C33" s="34"/>
      <c r="D33" s="31" t="s">
        <v>81</v>
      </c>
      <c r="E33" s="30">
        <v>0.0</v>
      </c>
      <c r="F33" s="30">
        <v>0.25</v>
      </c>
      <c r="G33" s="30">
        <v>0.75</v>
      </c>
      <c r="H33" s="32">
        <v>0.25</v>
      </c>
      <c r="I33" s="30">
        <f t="shared" si="9"/>
        <v>1.25</v>
      </c>
      <c r="J33" s="33">
        <f t="shared" si="8"/>
        <v>0.15625</v>
      </c>
    </row>
    <row r="34" ht="15.75" customHeight="1">
      <c r="A34" s="24"/>
      <c r="B34" s="26"/>
      <c r="C34" s="15"/>
      <c r="D34" s="31" t="s">
        <v>82</v>
      </c>
      <c r="E34" s="30">
        <v>0.0</v>
      </c>
      <c r="F34" s="30">
        <v>0.25</v>
      </c>
      <c r="G34" s="30">
        <v>0.75</v>
      </c>
      <c r="H34" s="32">
        <v>0.25</v>
      </c>
      <c r="I34" s="30">
        <f t="shared" si="9"/>
        <v>1.25</v>
      </c>
      <c r="J34" s="33">
        <f t="shared" si="8"/>
        <v>0.15625</v>
      </c>
    </row>
    <row r="35" ht="15.75" customHeight="1">
      <c r="A35" s="24"/>
      <c r="B35" s="26"/>
      <c r="C35" s="37" t="s">
        <v>83</v>
      </c>
      <c r="D35" s="31" t="s">
        <v>85</v>
      </c>
      <c r="E35" s="30">
        <v>0.0</v>
      </c>
      <c r="F35" s="30">
        <v>0.0</v>
      </c>
      <c r="G35" s="30">
        <v>1.0</v>
      </c>
      <c r="H35" s="32">
        <v>0.25</v>
      </c>
      <c r="I35" s="30">
        <f t="shared" si="9"/>
        <v>1.25</v>
      </c>
      <c r="J35" s="33">
        <f t="shared" si="8"/>
        <v>0.15625</v>
      </c>
    </row>
    <row r="36" ht="15.75" customHeight="1">
      <c r="A36" s="24"/>
      <c r="B36" s="26"/>
      <c r="C36" s="34"/>
      <c r="D36" s="31" t="s">
        <v>86</v>
      </c>
      <c r="E36" s="30">
        <v>0.0</v>
      </c>
      <c r="F36" s="30">
        <v>0.0</v>
      </c>
      <c r="G36" s="30">
        <v>1.0</v>
      </c>
      <c r="H36" s="32">
        <v>0.25</v>
      </c>
      <c r="I36" s="30">
        <f t="shared" si="9"/>
        <v>1.25</v>
      </c>
      <c r="J36" s="33">
        <f t="shared" si="8"/>
        <v>0.15625</v>
      </c>
    </row>
    <row r="37" ht="15.75" customHeight="1">
      <c r="A37" s="24"/>
      <c r="B37" s="26"/>
      <c r="C37" s="34"/>
      <c r="D37" s="31" t="s">
        <v>88</v>
      </c>
      <c r="E37" s="30">
        <v>0.0</v>
      </c>
      <c r="F37" s="30">
        <v>0.0</v>
      </c>
      <c r="G37" s="30">
        <v>1.0</v>
      </c>
      <c r="H37" s="32">
        <v>0.25</v>
      </c>
      <c r="I37" s="30">
        <f t="shared" si="9"/>
        <v>1.25</v>
      </c>
      <c r="J37" s="33">
        <f t="shared" si="8"/>
        <v>0.15625</v>
      </c>
    </row>
    <row r="38" ht="15.75" customHeight="1">
      <c r="A38" s="24"/>
      <c r="B38" s="26"/>
      <c r="C38" s="15"/>
      <c r="D38" s="31" t="s">
        <v>89</v>
      </c>
      <c r="E38" s="30">
        <v>0.0</v>
      </c>
      <c r="F38" s="30">
        <v>0.0</v>
      </c>
      <c r="G38" s="30">
        <v>1.0</v>
      </c>
      <c r="H38" s="32">
        <v>0.25</v>
      </c>
      <c r="I38" s="30">
        <f t="shared" si="9"/>
        <v>1.25</v>
      </c>
      <c r="J38" s="33">
        <f t="shared" si="8"/>
        <v>0.15625</v>
      </c>
    </row>
    <row r="39" ht="15.75" customHeight="1">
      <c r="A39" s="24"/>
      <c r="B39" s="26"/>
      <c r="C39" s="37" t="s">
        <v>91</v>
      </c>
      <c r="D39" s="31" t="s">
        <v>92</v>
      </c>
      <c r="E39" s="30">
        <v>0.25</v>
      </c>
      <c r="F39" s="30">
        <v>0.25</v>
      </c>
      <c r="G39" s="30">
        <v>0.5</v>
      </c>
      <c r="H39" s="32">
        <v>0.25</v>
      </c>
      <c r="I39" s="30">
        <f t="shared" si="9"/>
        <v>1.25</v>
      </c>
      <c r="J39" s="33">
        <f t="shared" si="8"/>
        <v>0.15625</v>
      </c>
    </row>
    <row r="40" ht="15.75" customHeight="1">
      <c r="A40" s="24"/>
      <c r="B40" s="26"/>
      <c r="C40" s="34"/>
      <c r="D40" s="31" t="s">
        <v>94</v>
      </c>
      <c r="E40" s="30">
        <v>0.25</v>
      </c>
      <c r="F40" s="30">
        <v>0.25</v>
      </c>
      <c r="G40" s="30">
        <v>0.5</v>
      </c>
      <c r="H40" s="32">
        <v>0.25</v>
      </c>
      <c r="I40" s="30">
        <f t="shared" si="9"/>
        <v>1.25</v>
      </c>
      <c r="J40" s="33">
        <f t="shared" si="8"/>
        <v>0.15625</v>
      </c>
    </row>
    <row r="41" ht="15.75" customHeight="1">
      <c r="A41" s="24"/>
      <c r="B41" s="26"/>
      <c r="C41" s="34"/>
      <c r="D41" s="31" t="s">
        <v>95</v>
      </c>
      <c r="E41" s="30">
        <v>0.0</v>
      </c>
      <c r="F41" s="30">
        <v>0.5</v>
      </c>
      <c r="G41" s="30">
        <v>0.5</v>
      </c>
      <c r="H41" s="32">
        <v>0.25</v>
      </c>
      <c r="I41" s="30">
        <f t="shared" si="9"/>
        <v>1.25</v>
      </c>
      <c r="J41" s="33">
        <f t="shared" si="8"/>
        <v>0.15625</v>
      </c>
    </row>
    <row r="42" ht="15.75" customHeight="1">
      <c r="A42" s="24"/>
      <c r="B42" s="26"/>
      <c r="C42" s="15"/>
      <c r="D42" s="31" t="s">
        <v>96</v>
      </c>
      <c r="E42" s="30">
        <v>0.0</v>
      </c>
      <c r="F42" s="30">
        <v>0.5</v>
      </c>
      <c r="G42" s="30">
        <v>0.5</v>
      </c>
      <c r="H42" s="32">
        <v>0.25</v>
      </c>
      <c r="I42" s="30">
        <f t="shared" si="9"/>
        <v>1.25</v>
      </c>
      <c r="J42" s="33">
        <f t="shared" si="8"/>
        <v>0.15625</v>
      </c>
    </row>
    <row r="43" ht="15.75" customHeight="1">
      <c r="A43" s="24"/>
      <c r="B43" s="25"/>
      <c r="C43" s="43"/>
      <c r="D43" s="44"/>
      <c r="E43" s="30"/>
      <c r="F43" s="30"/>
      <c r="G43" s="30"/>
      <c r="H43" s="30"/>
      <c r="I43" s="30"/>
      <c r="J43" s="30"/>
    </row>
    <row r="44" ht="41.25" customHeight="1">
      <c r="A44" s="16" t="s">
        <v>99</v>
      </c>
      <c r="B44" s="17" t="s">
        <v>100</v>
      </c>
      <c r="C44" s="19"/>
      <c r="D44" s="21"/>
      <c r="E44" s="23">
        <f t="shared" ref="E44:I44" si="10">SUM(E45:E54)</f>
        <v>2</v>
      </c>
      <c r="F44" s="23">
        <f t="shared" si="10"/>
        <v>8.5</v>
      </c>
      <c r="G44" s="23">
        <f t="shared" si="10"/>
        <v>9.5</v>
      </c>
      <c r="H44" s="23">
        <f t="shared" si="10"/>
        <v>4</v>
      </c>
      <c r="I44" s="23">
        <f t="shared" si="10"/>
        <v>24</v>
      </c>
      <c r="J44" s="23">
        <f t="shared" ref="J44:J54" si="11">I44/8</f>
        <v>3</v>
      </c>
    </row>
    <row r="45" ht="15.75" customHeight="1">
      <c r="A45" s="24"/>
      <c r="B45" s="26"/>
      <c r="C45" s="29" t="s">
        <v>102</v>
      </c>
      <c r="D45" s="31" t="s">
        <v>103</v>
      </c>
      <c r="E45" s="30">
        <v>0.25</v>
      </c>
      <c r="F45" s="30">
        <v>0.5</v>
      </c>
      <c r="G45" s="30">
        <v>0.75</v>
      </c>
      <c r="H45" s="32">
        <v>0.25</v>
      </c>
      <c r="I45" s="30">
        <f t="shared" ref="I45:I54" si="12">SUM(E45:H45)</f>
        <v>1.75</v>
      </c>
      <c r="J45" s="33">
        <f t="shared" si="11"/>
        <v>0.21875</v>
      </c>
    </row>
    <row r="46" ht="15.75" customHeight="1">
      <c r="A46" s="24"/>
      <c r="B46" s="26"/>
      <c r="C46" s="34"/>
      <c r="D46" s="31" t="s">
        <v>106</v>
      </c>
      <c r="E46" s="30">
        <v>0.25</v>
      </c>
      <c r="F46" s="30">
        <v>0.5</v>
      </c>
      <c r="G46" s="30">
        <v>0.75</v>
      </c>
      <c r="H46" s="32">
        <v>0.25</v>
      </c>
      <c r="I46" s="30">
        <f t="shared" si="12"/>
        <v>1.75</v>
      </c>
      <c r="J46" s="33">
        <f t="shared" si="11"/>
        <v>0.21875</v>
      </c>
    </row>
    <row r="47" ht="15.75" customHeight="1">
      <c r="A47" s="24"/>
      <c r="B47" s="26"/>
      <c r="C47" s="15"/>
      <c r="D47" s="31" t="s">
        <v>107</v>
      </c>
      <c r="E47" s="30">
        <v>0.0</v>
      </c>
      <c r="F47" s="30">
        <v>0.5</v>
      </c>
      <c r="G47" s="30">
        <v>1.0</v>
      </c>
      <c r="H47" s="32">
        <v>0.0</v>
      </c>
      <c r="I47" s="30">
        <f t="shared" si="12"/>
        <v>1.5</v>
      </c>
      <c r="J47" s="33">
        <f t="shared" si="11"/>
        <v>0.1875</v>
      </c>
    </row>
    <row r="48" ht="15.75" customHeight="1">
      <c r="A48" s="24"/>
      <c r="B48" s="26"/>
      <c r="C48" s="37" t="s">
        <v>109</v>
      </c>
      <c r="D48" s="31" t="s">
        <v>111</v>
      </c>
      <c r="E48" s="30">
        <v>0.5</v>
      </c>
      <c r="F48" s="30">
        <v>1.25</v>
      </c>
      <c r="G48" s="30">
        <v>1.0</v>
      </c>
      <c r="H48" s="32">
        <v>0.5</v>
      </c>
      <c r="I48" s="30">
        <f t="shared" si="12"/>
        <v>3.25</v>
      </c>
      <c r="J48" s="33">
        <f t="shared" si="11"/>
        <v>0.40625</v>
      </c>
    </row>
    <row r="49" ht="15.75" customHeight="1">
      <c r="A49" s="24"/>
      <c r="B49" s="26"/>
      <c r="C49" s="34"/>
      <c r="D49" s="31" t="s">
        <v>112</v>
      </c>
      <c r="E49" s="30">
        <v>0.5</v>
      </c>
      <c r="F49" s="30">
        <v>1.25</v>
      </c>
      <c r="G49" s="30">
        <v>1.0</v>
      </c>
      <c r="H49" s="32">
        <v>0.5</v>
      </c>
      <c r="I49" s="30">
        <f t="shared" si="12"/>
        <v>3.25</v>
      </c>
      <c r="J49" s="33">
        <f t="shared" si="11"/>
        <v>0.40625</v>
      </c>
    </row>
    <row r="50" ht="15.75" customHeight="1">
      <c r="A50" s="24"/>
      <c r="B50" s="26"/>
      <c r="C50" s="34"/>
      <c r="D50" s="31" t="s">
        <v>114</v>
      </c>
      <c r="E50" s="30">
        <v>0.25</v>
      </c>
      <c r="F50" s="30">
        <v>1.5</v>
      </c>
      <c r="G50" s="30">
        <v>0.75</v>
      </c>
      <c r="H50" s="32">
        <v>0.75</v>
      </c>
      <c r="I50" s="30">
        <f t="shared" si="12"/>
        <v>3.25</v>
      </c>
      <c r="J50" s="33">
        <f t="shared" si="11"/>
        <v>0.40625</v>
      </c>
    </row>
    <row r="51" ht="15.75" customHeight="1">
      <c r="A51" s="24"/>
      <c r="B51" s="26"/>
      <c r="C51" s="15"/>
      <c r="D51" s="31" t="s">
        <v>116</v>
      </c>
      <c r="E51" s="30">
        <v>0.25</v>
      </c>
      <c r="F51" s="30">
        <v>1.5</v>
      </c>
      <c r="G51" s="30">
        <v>0.75</v>
      </c>
      <c r="H51" s="32">
        <v>0.75</v>
      </c>
      <c r="I51" s="30">
        <f t="shared" si="12"/>
        <v>3.25</v>
      </c>
      <c r="J51" s="33">
        <f t="shared" si="11"/>
        <v>0.40625</v>
      </c>
    </row>
    <row r="52" ht="15.75" customHeight="1">
      <c r="A52" s="24"/>
      <c r="B52" s="26"/>
      <c r="C52" s="37" t="s">
        <v>117</v>
      </c>
      <c r="D52" s="31" t="s">
        <v>119</v>
      </c>
      <c r="E52" s="30">
        <v>0.0</v>
      </c>
      <c r="F52" s="30">
        <v>0.5</v>
      </c>
      <c r="G52" s="30">
        <v>1.25</v>
      </c>
      <c r="H52" s="32">
        <v>0.25</v>
      </c>
      <c r="I52" s="30">
        <f t="shared" si="12"/>
        <v>2</v>
      </c>
      <c r="J52" s="33">
        <f t="shared" si="11"/>
        <v>0.25</v>
      </c>
    </row>
    <row r="53" ht="15.75" customHeight="1">
      <c r="A53" s="24"/>
      <c r="B53" s="26"/>
      <c r="C53" s="34"/>
      <c r="D53" s="31" t="s">
        <v>120</v>
      </c>
      <c r="E53" s="30">
        <v>0.0</v>
      </c>
      <c r="F53" s="30">
        <v>0.5</v>
      </c>
      <c r="G53" s="30">
        <v>1.25</v>
      </c>
      <c r="H53" s="32">
        <v>0.25</v>
      </c>
      <c r="I53" s="30">
        <f t="shared" si="12"/>
        <v>2</v>
      </c>
      <c r="J53" s="33">
        <f t="shared" si="11"/>
        <v>0.25</v>
      </c>
    </row>
    <row r="54" ht="15.75" customHeight="1">
      <c r="A54" s="24"/>
      <c r="B54" s="26"/>
      <c r="C54" s="15"/>
      <c r="D54" s="31" t="s">
        <v>122</v>
      </c>
      <c r="E54" s="30">
        <v>0.0</v>
      </c>
      <c r="F54" s="30">
        <v>0.5</v>
      </c>
      <c r="G54" s="30">
        <v>1.0</v>
      </c>
      <c r="H54" s="32">
        <v>0.5</v>
      </c>
      <c r="I54" s="30">
        <f t="shared" si="12"/>
        <v>2</v>
      </c>
      <c r="J54" s="33">
        <f t="shared" si="11"/>
        <v>0.25</v>
      </c>
    </row>
    <row r="55" ht="15.75" customHeight="1">
      <c r="A55" s="24"/>
      <c r="B55" s="25"/>
      <c r="C55" s="43"/>
      <c r="D55" s="44"/>
      <c r="E55" s="30"/>
      <c r="F55" s="30"/>
      <c r="G55" s="30"/>
      <c r="H55" s="30"/>
      <c r="I55" s="30"/>
      <c r="J55" s="30"/>
    </row>
    <row r="56" ht="45.75" customHeight="1">
      <c r="A56" s="16" t="s">
        <v>125</v>
      </c>
      <c r="B56" s="17" t="s">
        <v>126</v>
      </c>
      <c r="C56" s="19"/>
      <c r="D56" s="21"/>
      <c r="E56" s="23">
        <f t="shared" ref="E56:I56" si="13">SUM(E57:E63)</f>
        <v>1</v>
      </c>
      <c r="F56" s="23">
        <f t="shared" si="13"/>
        <v>3.5</v>
      </c>
      <c r="G56" s="23">
        <f t="shared" si="13"/>
        <v>8.5</v>
      </c>
      <c r="H56" s="23">
        <f t="shared" si="13"/>
        <v>3</v>
      </c>
      <c r="I56" s="23">
        <f t="shared" si="13"/>
        <v>16</v>
      </c>
      <c r="J56" s="23">
        <f t="shared" ref="J56:J63" si="14">I56/8</f>
        <v>2</v>
      </c>
    </row>
    <row r="57" ht="15.75" customHeight="1">
      <c r="A57" s="24"/>
      <c r="B57" s="26"/>
      <c r="C57" s="29" t="s">
        <v>129</v>
      </c>
      <c r="D57" s="31" t="s">
        <v>174</v>
      </c>
      <c r="E57" s="30">
        <v>0.0</v>
      </c>
      <c r="F57" s="30">
        <v>0.5</v>
      </c>
      <c r="G57" s="30">
        <v>1.5</v>
      </c>
      <c r="H57" s="32">
        <v>0.5</v>
      </c>
      <c r="I57" s="30">
        <f t="shared" ref="I57:I63" si="15">SUM(E57:H57)</f>
        <v>2.5</v>
      </c>
      <c r="J57" s="33">
        <f t="shared" si="14"/>
        <v>0.3125</v>
      </c>
    </row>
    <row r="58" ht="15.75" customHeight="1">
      <c r="A58" s="24"/>
      <c r="B58" s="26"/>
      <c r="C58" s="34"/>
      <c r="D58" s="31" t="s">
        <v>179</v>
      </c>
      <c r="E58" s="30">
        <v>0.0</v>
      </c>
      <c r="F58" s="30">
        <v>0.25</v>
      </c>
      <c r="G58" s="30">
        <v>1.5</v>
      </c>
      <c r="H58" s="32">
        <v>0.5</v>
      </c>
      <c r="I58" s="30">
        <f t="shared" si="15"/>
        <v>2.25</v>
      </c>
      <c r="J58" s="33">
        <f t="shared" si="14"/>
        <v>0.28125</v>
      </c>
    </row>
    <row r="59" ht="15.75" customHeight="1">
      <c r="A59" s="24"/>
      <c r="B59" s="26"/>
      <c r="C59" s="15"/>
      <c r="D59" s="31" t="s">
        <v>181</v>
      </c>
      <c r="E59" s="30">
        <v>0.0</v>
      </c>
      <c r="F59" s="30">
        <v>0.25</v>
      </c>
      <c r="G59" s="30">
        <v>1.5</v>
      </c>
      <c r="H59" s="32">
        <v>0.5</v>
      </c>
      <c r="I59" s="30">
        <f t="shared" si="15"/>
        <v>2.25</v>
      </c>
      <c r="J59" s="33">
        <f t="shared" si="14"/>
        <v>0.28125</v>
      </c>
    </row>
    <row r="60" ht="31.5" customHeight="1">
      <c r="A60" s="24"/>
      <c r="B60" s="26"/>
      <c r="C60" s="37" t="s">
        <v>183</v>
      </c>
      <c r="D60" s="31" t="s">
        <v>184</v>
      </c>
      <c r="E60" s="30">
        <v>0.25</v>
      </c>
      <c r="F60" s="30">
        <v>0.75</v>
      </c>
      <c r="G60" s="30">
        <v>1.0</v>
      </c>
      <c r="H60" s="32">
        <v>0.25</v>
      </c>
      <c r="I60" s="30">
        <f t="shared" si="15"/>
        <v>2.25</v>
      </c>
      <c r="J60" s="33">
        <f t="shared" si="14"/>
        <v>0.28125</v>
      </c>
    </row>
    <row r="61" ht="15.75" customHeight="1">
      <c r="A61" s="24"/>
      <c r="B61" s="26"/>
      <c r="C61" s="34"/>
      <c r="D61" s="31" t="s">
        <v>186</v>
      </c>
      <c r="E61" s="30">
        <v>0.25</v>
      </c>
      <c r="F61" s="30">
        <v>0.75</v>
      </c>
      <c r="G61" s="30">
        <v>1.0</v>
      </c>
      <c r="H61" s="32">
        <v>0.25</v>
      </c>
      <c r="I61" s="30">
        <f t="shared" si="15"/>
        <v>2.25</v>
      </c>
      <c r="J61" s="33">
        <f t="shared" si="14"/>
        <v>0.28125</v>
      </c>
    </row>
    <row r="62" ht="15.75" customHeight="1">
      <c r="A62" s="24"/>
      <c r="B62" s="26"/>
      <c r="C62" s="34"/>
      <c r="D62" s="31" t="s">
        <v>191</v>
      </c>
      <c r="E62" s="30">
        <v>0.25</v>
      </c>
      <c r="F62" s="30">
        <v>0.5</v>
      </c>
      <c r="G62" s="30">
        <v>1.0</v>
      </c>
      <c r="H62" s="32">
        <v>0.5</v>
      </c>
      <c r="I62" s="30">
        <f t="shared" si="15"/>
        <v>2.25</v>
      </c>
      <c r="J62" s="33">
        <f t="shared" si="14"/>
        <v>0.28125</v>
      </c>
    </row>
    <row r="63" ht="15.75" customHeight="1">
      <c r="A63" s="24"/>
      <c r="B63" s="26"/>
      <c r="C63" s="15"/>
      <c r="D63" s="31" t="s">
        <v>192</v>
      </c>
      <c r="E63" s="30">
        <v>0.25</v>
      </c>
      <c r="F63" s="30">
        <v>0.5</v>
      </c>
      <c r="G63" s="30">
        <v>1.0</v>
      </c>
      <c r="H63" s="32">
        <v>0.5</v>
      </c>
      <c r="I63" s="30">
        <f t="shared" si="15"/>
        <v>2.25</v>
      </c>
      <c r="J63" s="33">
        <f t="shared" si="14"/>
        <v>0.28125</v>
      </c>
    </row>
    <row r="64" ht="15.75" customHeight="1">
      <c r="A64" s="24"/>
      <c r="B64" s="25"/>
      <c r="C64" s="43"/>
      <c r="D64" s="44"/>
      <c r="E64" s="30"/>
      <c r="F64" s="30"/>
      <c r="G64" s="30"/>
      <c r="H64" s="30"/>
      <c r="I64" s="30"/>
      <c r="J64" s="30"/>
    </row>
    <row r="65" ht="43.5" customHeight="1">
      <c r="A65" s="16" t="s">
        <v>194</v>
      </c>
      <c r="B65" s="17" t="s">
        <v>196</v>
      </c>
      <c r="C65" s="19"/>
      <c r="D65" s="21"/>
      <c r="E65" s="23">
        <f t="shared" ref="E65:I65" si="16">SUM(E66:E76)</f>
        <v>2</v>
      </c>
      <c r="F65" s="23">
        <f t="shared" si="16"/>
        <v>4.5</v>
      </c>
      <c r="G65" s="23">
        <f t="shared" si="16"/>
        <v>10</v>
      </c>
      <c r="H65" s="23">
        <f t="shared" si="16"/>
        <v>3.5</v>
      </c>
      <c r="I65" s="23">
        <f t="shared" si="16"/>
        <v>20</v>
      </c>
      <c r="J65" s="23">
        <f t="shared" ref="J65:J76" si="17">I65/8</f>
        <v>2.5</v>
      </c>
    </row>
    <row r="66" ht="15.75" customHeight="1">
      <c r="A66" s="24"/>
      <c r="B66" s="26"/>
      <c r="C66" s="29" t="s">
        <v>199</v>
      </c>
      <c r="D66" s="31" t="s">
        <v>200</v>
      </c>
      <c r="E66" s="30">
        <v>0.25</v>
      </c>
      <c r="F66" s="30">
        <v>0.25</v>
      </c>
      <c r="G66" s="30">
        <v>1.25</v>
      </c>
      <c r="H66" s="32">
        <v>0.25</v>
      </c>
      <c r="I66" s="30">
        <f t="shared" ref="I66:I76" si="18">SUM(E66:H66)</f>
        <v>2</v>
      </c>
      <c r="J66" s="33">
        <f t="shared" si="17"/>
        <v>0.25</v>
      </c>
    </row>
    <row r="67" ht="15.75" customHeight="1">
      <c r="A67" s="24"/>
      <c r="B67" s="26"/>
      <c r="C67" s="34"/>
      <c r="D67" s="31" t="s">
        <v>202</v>
      </c>
      <c r="E67" s="30">
        <v>0.25</v>
      </c>
      <c r="F67" s="30">
        <v>0.25</v>
      </c>
      <c r="G67" s="30">
        <v>1.25</v>
      </c>
      <c r="H67" s="32">
        <v>0.25</v>
      </c>
      <c r="I67" s="30">
        <f t="shared" si="18"/>
        <v>2</v>
      </c>
      <c r="J67" s="33">
        <f t="shared" si="17"/>
        <v>0.25</v>
      </c>
    </row>
    <row r="68" ht="15.75" customHeight="1">
      <c r="A68" s="24"/>
      <c r="B68" s="26"/>
      <c r="C68" s="15"/>
      <c r="D68" s="31" t="s">
        <v>204</v>
      </c>
      <c r="E68" s="30">
        <v>0.0</v>
      </c>
      <c r="F68" s="30">
        <v>0.5</v>
      </c>
      <c r="G68" s="30">
        <v>1.0</v>
      </c>
      <c r="H68" s="32">
        <v>0.5</v>
      </c>
      <c r="I68" s="30">
        <f t="shared" si="18"/>
        <v>2</v>
      </c>
      <c r="J68" s="33">
        <f t="shared" si="17"/>
        <v>0.25</v>
      </c>
    </row>
    <row r="69" ht="19.5" customHeight="1">
      <c r="A69" s="24"/>
      <c r="B69" s="26"/>
      <c r="C69" s="37" t="s">
        <v>205</v>
      </c>
      <c r="D69" s="31" t="s">
        <v>206</v>
      </c>
      <c r="E69" s="30">
        <v>0.25</v>
      </c>
      <c r="F69" s="30">
        <v>0.25</v>
      </c>
      <c r="G69" s="30">
        <v>1.0</v>
      </c>
      <c r="H69" s="32">
        <v>0.25</v>
      </c>
      <c r="I69" s="30">
        <f t="shared" si="18"/>
        <v>1.75</v>
      </c>
      <c r="J69" s="33">
        <f t="shared" si="17"/>
        <v>0.21875</v>
      </c>
    </row>
    <row r="70" ht="15.75" customHeight="1">
      <c r="A70" s="24"/>
      <c r="B70" s="26"/>
      <c r="C70" s="34"/>
      <c r="D70" s="31" t="s">
        <v>208</v>
      </c>
      <c r="E70" s="30">
        <v>0.25</v>
      </c>
      <c r="F70" s="30">
        <v>0.25</v>
      </c>
      <c r="G70" s="30">
        <v>1.0</v>
      </c>
      <c r="H70" s="32">
        <v>0.25</v>
      </c>
      <c r="I70" s="30">
        <f t="shared" si="18"/>
        <v>1.75</v>
      </c>
      <c r="J70" s="33">
        <f t="shared" si="17"/>
        <v>0.21875</v>
      </c>
    </row>
    <row r="71" ht="15.75" customHeight="1">
      <c r="A71" s="24"/>
      <c r="B71" s="26"/>
      <c r="C71" s="34"/>
      <c r="D71" s="31" t="s">
        <v>210</v>
      </c>
      <c r="E71" s="30">
        <v>0.0</v>
      </c>
      <c r="F71" s="30">
        <v>0.25</v>
      </c>
      <c r="G71" s="30">
        <v>1.0</v>
      </c>
      <c r="H71" s="32">
        <v>0.5</v>
      </c>
      <c r="I71" s="30">
        <f t="shared" si="18"/>
        <v>1.75</v>
      </c>
      <c r="J71" s="33">
        <f t="shared" si="17"/>
        <v>0.21875</v>
      </c>
    </row>
    <row r="72" ht="15.75" customHeight="1">
      <c r="A72" s="24"/>
      <c r="B72" s="26"/>
      <c r="C72" s="15"/>
      <c r="D72" s="31" t="s">
        <v>212</v>
      </c>
      <c r="E72" s="30">
        <v>0.0</v>
      </c>
      <c r="F72" s="30">
        <v>0.25</v>
      </c>
      <c r="G72" s="30">
        <v>1.0</v>
      </c>
      <c r="H72" s="32">
        <v>0.5</v>
      </c>
      <c r="I72" s="30">
        <f t="shared" si="18"/>
        <v>1.75</v>
      </c>
      <c r="J72" s="33">
        <f t="shared" si="17"/>
        <v>0.21875</v>
      </c>
    </row>
    <row r="73" ht="15.75" customHeight="1">
      <c r="A73" s="24"/>
      <c r="B73" s="26"/>
      <c r="C73" s="37" t="s">
        <v>214</v>
      </c>
      <c r="D73" s="31" t="s">
        <v>215</v>
      </c>
      <c r="E73" s="30">
        <v>0.25</v>
      </c>
      <c r="F73" s="30">
        <v>0.75</v>
      </c>
      <c r="G73" s="30">
        <v>0.5</v>
      </c>
      <c r="H73" s="32">
        <v>0.25</v>
      </c>
      <c r="I73" s="30">
        <f t="shared" si="18"/>
        <v>1.75</v>
      </c>
      <c r="J73" s="33">
        <f t="shared" si="17"/>
        <v>0.21875</v>
      </c>
    </row>
    <row r="74" ht="15.75" customHeight="1">
      <c r="A74" s="24"/>
      <c r="B74" s="26"/>
      <c r="C74" s="34"/>
      <c r="D74" s="31" t="s">
        <v>217</v>
      </c>
      <c r="E74" s="30">
        <v>0.25</v>
      </c>
      <c r="F74" s="30">
        <v>0.75</v>
      </c>
      <c r="G74" s="30">
        <v>0.5</v>
      </c>
      <c r="H74" s="32">
        <v>0.25</v>
      </c>
      <c r="I74" s="30">
        <f t="shared" si="18"/>
        <v>1.75</v>
      </c>
      <c r="J74" s="33">
        <f t="shared" si="17"/>
        <v>0.21875</v>
      </c>
    </row>
    <row r="75" ht="15.75" customHeight="1">
      <c r="A75" s="24"/>
      <c r="B75" s="26"/>
      <c r="C75" s="34"/>
      <c r="D75" s="31" t="s">
        <v>219</v>
      </c>
      <c r="E75" s="30">
        <v>0.25</v>
      </c>
      <c r="F75" s="30">
        <v>0.5</v>
      </c>
      <c r="G75" s="30">
        <v>0.75</v>
      </c>
      <c r="H75" s="32">
        <v>0.25</v>
      </c>
      <c r="I75" s="30">
        <f t="shared" si="18"/>
        <v>1.75</v>
      </c>
      <c r="J75" s="33">
        <f t="shared" si="17"/>
        <v>0.21875</v>
      </c>
    </row>
    <row r="76" ht="15.75" customHeight="1">
      <c r="A76" s="24"/>
      <c r="B76" s="26"/>
      <c r="C76" s="15"/>
      <c r="D76" s="31" t="s">
        <v>220</v>
      </c>
      <c r="E76" s="30">
        <v>0.25</v>
      </c>
      <c r="F76" s="30">
        <v>0.5</v>
      </c>
      <c r="G76" s="30">
        <v>0.75</v>
      </c>
      <c r="H76" s="32">
        <v>0.25</v>
      </c>
      <c r="I76" s="30">
        <f t="shared" si="18"/>
        <v>1.75</v>
      </c>
      <c r="J76" s="33">
        <f t="shared" si="17"/>
        <v>0.21875</v>
      </c>
    </row>
    <row r="77" ht="15.75" customHeight="1">
      <c r="A77" s="24"/>
      <c r="B77" s="25"/>
      <c r="C77" s="43"/>
      <c r="D77" s="44"/>
      <c r="E77" s="30"/>
      <c r="F77" s="30"/>
      <c r="G77" s="30"/>
      <c r="H77" s="30"/>
      <c r="I77" s="30"/>
      <c r="J77" s="30"/>
    </row>
    <row r="78" ht="42.0" customHeight="1">
      <c r="A78" s="16" t="s">
        <v>222</v>
      </c>
      <c r="B78" s="17" t="s">
        <v>223</v>
      </c>
      <c r="C78" s="19"/>
      <c r="D78" s="21"/>
      <c r="E78" s="23">
        <f t="shared" ref="E78:I78" si="19">SUM(E79:E84)</f>
        <v>1</v>
      </c>
      <c r="F78" s="23">
        <f t="shared" si="19"/>
        <v>3</v>
      </c>
      <c r="G78" s="23">
        <f t="shared" si="19"/>
        <v>9</v>
      </c>
      <c r="H78" s="23">
        <f t="shared" si="19"/>
        <v>3</v>
      </c>
      <c r="I78" s="23">
        <f t="shared" si="19"/>
        <v>16</v>
      </c>
      <c r="J78" s="23">
        <f t="shared" ref="J78:J84" si="20">I78/8</f>
        <v>2</v>
      </c>
    </row>
    <row r="79" ht="20.25" customHeight="1">
      <c r="A79" s="24"/>
      <c r="B79" s="26"/>
      <c r="C79" s="29" t="s">
        <v>226</v>
      </c>
      <c r="D79" s="31" t="s">
        <v>227</v>
      </c>
      <c r="E79" s="30">
        <v>0.25</v>
      </c>
      <c r="F79" s="30">
        <v>0.75</v>
      </c>
      <c r="G79" s="30">
        <v>1.5</v>
      </c>
      <c r="H79" s="32">
        <v>0.5</v>
      </c>
      <c r="I79" s="30">
        <f t="shared" ref="I79:I84" si="21">SUM(E79:H79)</f>
        <v>3</v>
      </c>
      <c r="J79" s="33">
        <f t="shared" si="20"/>
        <v>0.375</v>
      </c>
    </row>
    <row r="80" ht="15.75" customHeight="1">
      <c r="A80" s="24"/>
      <c r="B80" s="26"/>
      <c r="C80" s="34"/>
      <c r="D80" s="31" t="s">
        <v>230</v>
      </c>
      <c r="E80" s="30">
        <v>0.25</v>
      </c>
      <c r="F80" s="30">
        <v>0.75</v>
      </c>
      <c r="G80" s="30">
        <v>1.5</v>
      </c>
      <c r="H80" s="32">
        <v>0.5</v>
      </c>
      <c r="I80" s="30">
        <f t="shared" si="21"/>
        <v>3</v>
      </c>
      <c r="J80" s="33">
        <f t="shared" si="20"/>
        <v>0.375</v>
      </c>
    </row>
    <row r="81" ht="15.75" customHeight="1">
      <c r="A81" s="24"/>
      <c r="B81" s="26"/>
      <c r="C81" s="34"/>
      <c r="D81" s="31" t="s">
        <v>231</v>
      </c>
      <c r="E81" s="30">
        <v>0.25</v>
      </c>
      <c r="F81" s="30">
        <v>0.75</v>
      </c>
      <c r="G81" s="30">
        <v>1.5</v>
      </c>
      <c r="H81" s="32">
        <v>0.5</v>
      </c>
      <c r="I81" s="30">
        <f t="shared" si="21"/>
        <v>3</v>
      </c>
      <c r="J81" s="33">
        <f t="shared" si="20"/>
        <v>0.375</v>
      </c>
    </row>
    <row r="82" ht="15.75" customHeight="1">
      <c r="A82" s="24"/>
      <c r="B82" s="26"/>
      <c r="C82" s="15"/>
      <c r="D82" s="31" t="s">
        <v>232</v>
      </c>
      <c r="E82" s="30">
        <v>0.25</v>
      </c>
      <c r="F82" s="30">
        <v>0.75</v>
      </c>
      <c r="G82" s="30">
        <v>1.5</v>
      </c>
      <c r="H82" s="32">
        <v>0.5</v>
      </c>
      <c r="I82" s="30">
        <f t="shared" si="21"/>
        <v>3</v>
      </c>
      <c r="J82" s="33">
        <f t="shared" si="20"/>
        <v>0.375</v>
      </c>
    </row>
    <row r="83" ht="31.5" customHeight="1">
      <c r="A83" s="24"/>
      <c r="B83" s="26"/>
      <c r="C83" s="37" t="s">
        <v>234</v>
      </c>
      <c r="D83" s="31" t="s">
        <v>235</v>
      </c>
      <c r="E83" s="30">
        <v>0.0</v>
      </c>
      <c r="F83" s="30">
        <v>0.0</v>
      </c>
      <c r="G83" s="30">
        <v>1.5</v>
      </c>
      <c r="H83" s="32">
        <v>0.5</v>
      </c>
      <c r="I83" s="30">
        <f t="shared" si="21"/>
        <v>2</v>
      </c>
      <c r="J83" s="33">
        <f t="shared" si="20"/>
        <v>0.25</v>
      </c>
    </row>
    <row r="84" ht="15.75" customHeight="1">
      <c r="A84" s="24"/>
      <c r="B84" s="26"/>
      <c r="C84" s="15"/>
      <c r="D84" s="31" t="s">
        <v>237</v>
      </c>
      <c r="E84" s="30">
        <v>0.0</v>
      </c>
      <c r="F84" s="30">
        <v>0.0</v>
      </c>
      <c r="G84" s="30">
        <v>1.5</v>
      </c>
      <c r="H84" s="32">
        <v>0.5</v>
      </c>
      <c r="I84" s="30">
        <f t="shared" si="21"/>
        <v>2</v>
      </c>
      <c r="J84" s="33">
        <f t="shared" si="20"/>
        <v>0.25</v>
      </c>
    </row>
    <row r="85" ht="15.75" customHeight="1">
      <c r="A85" s="24"/>
      <c r="B85" s="25"/>
      <c r="C85" s="43"/>
      <c r="D85" s="44"/>
      <c r="E85" s="30"/>
      <c r="F85" s="30"/>
      <c r="G85" s="30"/>
      <c r="H85" s="30"/>
      <c r="I85" s="30"/>
      <c r="J85" s="30"/>
    </row>
    <row r="86" ht="31.5" customHeight="1">
      <c r="A86" s="16" t="s">
        <v>239</v>
      </c>
      <c r="B86" s="17" t="s">
        <v>240</v>
      </c>
      <c r="C86" s="19"/>
      <c r="D86" s="21"/>
      <c r="E86" s="23">
        <f t="shared" ref="E86:I86" si="22">SUM(E87:E96)</f>
        <v>1</v>
      </c>
      <c r="F86" s="23">
        <f t="shared" si="22"/>
        <v>2.5</v>
      </c>
      <c r="G86" s="23">
        <f t="shared" si="22"/>
        <v>9.5</v>
      </c>
      <c r="H86" s="23">
        <f t="shared" si="22"/>
        <v>7</v>
      </c>
      <c r="I86" s="23">
        <f t="shared" si="22"/>
        <v>20</v>
      </c>
      <c r="J86" s="23">
        <f t="shared" ref="J86:J96" si="23">I86/8</f>
        <v>2.5</v>
      </c>
    </row>
    <row r="87" ht="15.75" customHeight="1">
      <c r="A87" s="24"/>
      <c r="B87" s="26"/>
      <c r="C87" s="29" t="s">
        <v>244</v>
      </c>
      <c r="D87" s="31" t="s">
        <v>245</v>
      </c>
      <c r="E87" s="30">
        <v>0.0</v>
      </c>
      <c r="F87" s="30">
        <v>0.25</v>
      </c>
      <c r="G87" s="30">
        <v>0.75</v>
      </c>
      <c r="H87" s="32">
        <v>0.25</v>
      </c>
      <c r="I87" s="30">
        <f t="shared" ref="I87:I96" si="24">SUM(E87:H87)</f>
        <v>1.25</v>
      </c>
      <c r="J87" s="33">
        <f t="shared" si="23"/>
        <v>0.15625</v>
      </c>
    </row>
    <row r="88" ht="15.75" customHeight="1">
      <c r="A88" s="24"/>
      <c r="B88" s="26"/>
      <c r="C88" s="34"/>
      <c r="D88" s="31" t="s">
        <v>248</v>
      </c>
      <c r="E88" s="30">
        <v>0.0</v>
      </c>
      <c r="F88" s="30">
        <v>0.25</v>
      </c>
      <c r="G88" s="30">
        <v>0.75</v>
      </c>
      <c r="H88" s="32">
        <v>0.25</v>
      </c>
      <c r="I88" s="30">
        <f t="shared" si="24"/>
        <v>1.25</v>
      </c>
      <c r="J88" s="33">
        <f t="shared" si="23"/>
        <v>0.15625</v>
      </c>
    </row>
    <row r="89" ht="15.75" customHeight="1">
      <c r="A89" s="24"/>
      <c r="B89" s="26"/>
      <c r="C89" s="34"/>
      <c r="D89" s="31" t="s">
        <v>249</v>
      </c>
      <c r="E89" s="30">
        <v>0.0</v>
      </c>
      <c r="F89" s="30">
        <v>0.0</v>
      </c>
      <c r="G89" s="30">
        <v>1.0</v>
      </c>
      <c r="H89" s="32">
        <v>0.25</v>
      </c>
      <c r="I89" s="30">
        <f t="shared" si="24"/>
        <v>1.25</v>
      </c>
      <c r="J89" s="33">
        <f t="shared" si="23"/>
        <v>0.15625</v>
      </c>
    </row>
    <row r="90" ht="15.75" customHeight="1">
      <c r="A90" s="24"/>
      <c r="B90" s="26"/>
      <c r="C90" s="15"/>
      <c r="D90" s="31" t="s">
        <v>251</v>
      </c>
      <c r="E90" s="30">
        <v>0.0</v>
      </c>
      <c r="F90" s="30">
        <v>0.0</v>
      </c>
      <c r="G90" s="30">
        <v>1.0</v>
      </c>
      <c r="H90" s="32">
        <v>0.25</v>
      </c>
      <c r="I90" s="30">
        <f t="shared" si="24"/>
        <v>1.25</v>
      </c>
      <c r="J90" s="33">
        <f t="shared" si="23"/>
        <v>0.15625</v>
      </c>
    </row>
    <row r="91" ht="15.75" customHeight="1">
      <c r="A91" s="24"/>
      <c r="B91" s="26"/>
      <c r="C91" s="37" t="s">
        <v>253</v>
      </c>
      <c r="D91" s="31" t="s">
        <v>254</v>
      </c>
      <c r="E91" s="30">
        <v>0.0</v>
      </c>
      <c r="F91" s="30">
        <v>0.5</v>
      </c>
      <c r="G91" s="30">
        <v>1.25</v>
      </c>
      <c r="H91" s="32">
        <v>0.75</v>
      </c>
      <c r="I91" s="30">
        <f t="shared" si="24"/>
        <v>2.5</v>
      </c>
      <c r="J91" s="33">
        <f t="shared" si="23"/>
        <v>0.3125</v>
      </c>
    </row>
    <row r="92" ht="15.75" customHeight="1">
      <c r="A92" s="24"/>
      <c r="B92" s="26"/>
      <c r="C92" s="34"/>
      <c r="D92" s="31" t="s">
        <v>256</v>
      </c>
      <c r="E92" s="30">
        <v>0.0</v>
      </c>
      <c r="F92" s="30">
        <v>0.25</v>
      </c>
      <c r="G92" s="30">
        <v>1.5</v>
      </c>
      <c r="H92" s="32">
        <v>0.5</v>
      </c>
      <c r="I92" s="30">
        <f t="shared" si="24"/>
        <v>2.25</v>
      </c>
      <c r="J92" s="33">
        <f t="shared" si="23"/>
        <v>0.28125</v>
      </c>
    </row>
    <row r="93" ht="15.75" customHeight="1">
      <c r="A93" s="24"/>
      <c r="B93" s="26"/>
      <c r="C93" s="15"/>
      <c r="D93" s="31" t="s">
        <v>258</v>
      </c>
      <c r="E93" s="30">
        <v>0.0</v>
      </c>
      <c r="F93" s="30">
        <v>0.25</v>
      </c>
      <c r="G93" s="30">
        <v>1.25</v>
      </c>
      <c r="H93" s="32">
        <v>0.75</v>
      </c>
      <c r="I93" s="30">
        <f t="shared" si="24"/>
        <v>2.25</v>
      </c>
      <c r="J93" s="33">
        <f t="shared" si="23"/>
        <v>0.28125</v>
      </c>
    </row>
    <row r="94" ht="15.75" customHeight="1">
      <c r="A94" s="24"/>
      <c r="B94" s="26"/>
      <c r="C94" s="37" t="s">
        <v>260</v>
      </c>
      <c r="D94" s="31" t="s">
        <v>261</v>
      </c>
      <c r="E94" s="30">
        <v>0.5</v>
      </c>
      <c r="F94" s="30">
        <v>0.25</v>
      </c>
      <c r="G94" s="30">
        <v>0.75</v>
      </c>
      <c r="H94" s="32">
        <v>1.25</v>
      </c>
      <c r="I94" s="30">
        <f t="shared" si="24"/>
        <v>2.75</v>
      </c>
      <c r="J94" s="33">
        <f t="shared" si="23"/>
        <v>0.34375</v>
      </c>
    </row>
    <row r="95" ht="15.75" customHeight="1">
      <c r="A95" s="24"/>
      <c r="B95" s="26"/>
      <c r="C95" s="34"/>
      <c r="D95" s="31" t="s">
        <v>263</v>
      </c>
      <c r="E95" s="30">
        <v>0.25</v>
      </c>
      <c r="F95" s="30">
        <v>0.5</v>
      </c>
      <c r="G95" s="30">
        <v>0.5</v>
      </c>
      <c r="H95" s="32">
        <v>1.5</v>
      </c>
      <c r="I95" s="30">
        <f t="shared" si="24"/>
        <v>2.75</v>
      </c>
      <c r="J95" s="33">
        <f t="shared" si="23"/>
        <v>0.34375</v>
      </c>
    </row>
    <row r="96" ht="17.25" customHeight="1">
      <c r="A96" s="24"/>
      <c r="B96" s="26"/>
      <c r="C96" s="15"/>
      <c r="D96" s="31" t="s">
        <v>265</v>
      </c>
      <c r="E96" s="30">
        <v>0.25</v>
      </c>
      <c r="F96" s="30">
        <v>0.25</v>
      </c>
      <c r="G96" s="30">
        <v>0.75</v>
      </c>
      <c r="H96" s="32">
        <v>1.25</v>
      </c>
      <c r="I96" s="30">
        <f t="shared" si="24"/>
        <v>2.5</v>
      </c>
      <c r="J96" s="33">
        <f t="shared" si="23"/>
        <v>0.3125</v>
      </c>
    </row>
    <row r="97" ht="15.75" customHeight="1">
      <c r="A97" s="24"/>
      <c r="B97" s="25"/>
      <c r="C97" s="39"/>
      <c r="D97" s="44"/>
      <c r="E97" s="30"/>
      <c r="F97" s="30"/>
      <c r="G97" s="30"/>
      <c r="H97" s="30"/>
      <c r="I97" s="30"/>
      <c r="J97" s="30"/>
    </row>
    <row r="98" ht="15.75" customHeight="1">
      <c r="A98" s="65"/>
      <c r="B98" s="66"/>
      <c r="C98" s="67"/>
      <c r="D98" s="68"/>
      <c r="E98" s="69">
        <f t="shared" ref="E98:J98" si="25">SUM(E4:E97)/2</f>
        <v>9.5</v>
      </c>
      <c r="F98" s="69">
        <f t="shared" si="25"/>
        <v>32.5</v>
      </c>
      <c r="G98" s="69">
        <f t="shared" si="25"/>
        <v>83.5</v>
      </c>
      <c r="H98" s="69">
        <f t="shared" si="25"/>
        <v>34.5</v>
      </c>
      <c r="I98" s="69">
        <f t="shared" si="25"/>
        <v>160</v>
      </c>
      <c r="J98" s="69">
        <f t="shared" si="25"/>
        <v>20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H2:H3"/>
    <mergeCell ref="I2:I3"/>
    <mergeCell ref="J2:J3"/>
    <mergeCell ref="A2:A3"/>
    <mergeCell ref="B2:B3"/>
    <mergeCell ref="C2:C3"/>
    <mergeCell ref="D2:D3"/>
    <mergeCell ref="E2:E3"/>
    <mergeCell ref="F2:F3"/>
    <mergeCell ref="G2:G3"/>
    <mergeCell ref="C5:C8"/>
    <mergeCell ref="C9:C11"/>
    <mergeCell ref="C12:C15"/>
    <mergeCell ref="C18:C20"/>
    <mergeCell ref="C21:C24"/>
    <mergeCell ref="C27:C29"/>
    <mergeCell ref="C31:C34"/>
    <mergeCell ref="C66:C68"/>
    <mergeCell ref="C69:C72"/>
    <mergeCell ref="C73:C76"/>
    <mergeCell ref="C79:C82"/>
    <mergeCell ref="C83:C84"/>
    <mergeCell ref="C87:C90"/>
    <mergeCell ref="C91:C93"/>
    <mergeCell ref="C94:C96"/>
    <mergeCell ref="C35:C38"/>
    <mergeCell ref="C39:C42"/>
    <mergeCell ref="C45:C47"/>
    <mergeCell ref="C48:C51"/>
    <mergeCell ref="C52:C54"/>
    <mergeCell ref="C57:C59"/>
    <mergeCell ref="C60:C63"/>
  </mergeCells>
  <printOptions/>
  <pageMargins bottom="0.0" footer="0.0" header="0.0" left="0.0" right="0.0" top="0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4.38"/>
    <col customWidth="1" min="2" max="2" width="20.63"/>
    <col customWidth="1" min="3" max="3" width="33.88"/>
    <col customWidth="1" min="4" max="4" width="97.38"/>
    <col customWidth="1" min="5" max="5" width="12.63"/>
    <col customWidth="1" min="6" max="6" width="11.38"/>
    <col customWidth="1" min="7" max="7" width="14.0"/>
    <col customWidth="1" min="8" max="8" width="8.88"/>
    <col customWidth="1" min="9" max="9" width="9.63"/>
    <col customWidth="1" min="11" max="11" width="15.0"/>
    <col customWidth="1" min="12" max="12" width="14.38"/>
    <col customWidth="1" min="14" max="14" width="20.0"/>
  </cols>
  <sheetData>
    <row r="1" ht="13.5" customHeight="1">
      <c r="A1" s="1"/>
      <c r="B1" s="2"/>
      <c r="C1" s="2"/>
      <c r="D1" s="4"/>
      <c r="E1" s="3"/>
      <c r="F1" s="3"/>
      <c r="G1" s="5"/>
      <c r="H1" s="5"/>
      <c r="I1" s="5"/>
      <c r="J1" s="5"/>
      <c r="K1" s="5"/>
      <c r="L1" s="5"/>
      <c r="M1" s="5"/>
      <c r="N1" s="5"/>
      <c r="O1" s="6"/>
      <c r="P1" s="6"/>
      <c r="Q1" s="6"/>
      <c r="R1" s="6"/>
      <c r="S1" s="6"/>
      <c r="T1" s="6"/>
    </row>
    <row r="2" ht="14.25" customHeight="1">
      <c r="A2" s="7" t="s">
        <v>0</v>
      </c>
      <c r="B2" s="7" t="s">
        <v>1</v>
      </c>
      <c r="C2" s="7" t="s">
        <v>2</v>
      </c>
      <c r="D2" s="9" t="s">
        <v>3</v>
      </c>
      <c r="E2" s="10" t="s">
        <v>5</v>
      </c>
      <c r="F2" s="11" t="s">
        <v>7</v>
      </c>
      <c r="G2" s="12" t="s">
        <v>9</v>
      </c>
      <c r="H2" s="12" t="s">
        <v>11</v>
      </c>
      <c r="I2" s="13" t="s">
        <v>13</v>
      </c>
      <c r="J2" s="5"/>
      <c r="K2" s="5"/>
      <c r="L2" s="5"/>
      <c r="M2" s="5"/>
      <c r="N2" s="5"/>
      <c r="O2" s="6"/>
      <c r="P2" s="6"/>
      <c r="Q2" s="6"/>
      <c r="R2" s="6"/>
      <c r="S2" s="6"/>
      <c r="T2" s="6"/>
    </row>
    <row r="3" ht="22.5" customHeight="1">
      <c r="A3" s="15"/>
      <c r="B3" s="15"/>
      <c r="C3" s="15"/>
      <c r="D3" s="15"/>
      <c r="E3" s="15"/>
      <c r="F3" s="15"/>
      <c r="G3" s="15"/>
      <c r="H3" s="15"/>
      <c r="I3" s="15"/>
      <c r="J3" s="5"/>
      <c r="K3" s="5"/>
      <c r="L3" s="5"/>
      <c r="M3" s="5"/>
      <c r="N3" s="5"/>
      <c r="O3" s="6"/>
      <c r="P3" s="6"/>
      <c r="Q3" s="6"/>
      <c r="R3" s="6"/>
      <c r="S3" s="6"/>
      <c r="T3" s="6"/>
    </row>
    <row r="4" ht="33.0" customHeight="1">
      <c r="A4" s="16" t="s">
        <v>14</v>
      </c>
      <c r="B4" s="18" t="s">
        <v>16</v>
      </c>
      <c r="C4" s="20"/>
      <c r="D4" s="22"/>
      <c r="E4" s="23">
        <f t="shared" ref="E4:I4" si="1">SUM(E5:E18)</f>
        <v>2</v>
      </c>
      <c r="F4" s="23">
        <f t="shared" si="1"/>
        <v>5.15</v>
      </c>
      <c r="G4" s="23">
        <f t="shared" si="1"/>
        <v>0</v>
      </c>
      <c r="H4" s="23">
        <f t="shared" si="1"/>
        <v>0</v>
      </c>
      <c r="I4" s="23">
        <f t="shared" si="1"/>
        <v>7.15</v>
      </c>
      <c r="J4" s="5"/>
      <c r="K4" s="5"/>
      <c r="L4" s="5"/>
      <c r="M4" s="5"/>
      <c r="N4" s="5"/>
      <c r="O4" s="6"/>
      <c r="P4" s="6"/>
      <c r="Q4" s="6"/>
      <c r="R4" s="6"/>
      <c r="S4" s="6"/>
      <c r="T4" s="6"/>
    </row>
    <row r="5" ht="39.75" customHeight="1">
      <c r="A5" s="24"/>
      <c r="B5" s="25"/>
      <c r="C5" s="27" t="s">
        <v>16</v>
      </c>
      <c r="D5" s="28" t="s">
        <v>18</v>
      </c>
      <c r="E5" s="30">
        <v>1.0</v>
      </c>
      <c r="F5" s="30">
        <v>0.25</v>
      </c>
      <c r="G5" s="30">
        <v>0.0</v>
      </c>
      <c r="H5" s="30">
        <v>0.0</v>
      </c>
      <c r="I5" s="30">
        <f t="shared" ref="I5:I18" si="2">SUM(E5:H5)</f>
        <v>1.25</v>
      </c>
      <c r="J5" s="5"/>
      <c r="K5" s="5"/>
      <c r="L5" s="5"/>
      <c r="M5" s="5"/>
      <c r="N5" s="5"/>
      <c r="O5" s="6"/>
      <c r="P5" s="6"/>
      <c r="Q5" s="6"/>
      <c r="R5" s="6"/>
      <c r="S5" s="6"/>
      <c r="T5" s="6"/>
    </row>
    <row r="6" ht="27.0" customHeight="1">
      <c r="A6" s="24"/>
      <c r="B6" s="25"/>
      <c r="C6" s="15"/>
      <c r="D6" s="28" t="s">
        <v>20</v>
      </c>
      <c r="E6" s="30">
        <v>0.0</v>
      </c>
      <c r="F6" s="30">
        <v>0.25</v>
      </c>
      <c r="G6" s="30">
        <v>0.0</v>
      </c>
      <c r="H6" s="30">
        <v>0.0</v>
      </c>
      <c r="I6" s="30">
        <f t="shared" si="2"/>
        <v>0.25</v>
      </c>
      <c r="J6" s="5"/>
      <c r="K6" s="5"/>
      <c r="L6" s="5"/>
      <c r="M6" s="5"/>
      <c r="N6" s="5"/>
      <c r="O6" s="6"/>
      <c r="P6" s="6"/>
      <c r="Q6" s="6"/>
      <c r="R6" s="6"/>
      <c r="S6" s="6"/>
      <c r="T6" s="6"/>
    </row>
    <row r="7" ht="24.75" customHeight="1">
      <c r="A7" s="24"/>
      <c r="B7" s="25"/>
      <c r="C7" s="35" t="s">
        <v>21</v>
      </c>
      <c r="D7" s="28" t="s">
        <v>23</v>
      </c>
      <c r="E7" s="30">
        <v>0.0</v>
      </c>
      <c r="F7" s="30">
        <v>0.25</v>
      </c>
      <c r="G7" s="30">
        <v>0.0</v>
      </c>
      <c r="H7" s="30">
        <v>0.0</v>
      </c>
      <c r="I7" s="30">
        <f t="shared" si="2"/>
        <v>0.25</v>
      </c>
      <c r="J7" s="5"/>
      <c r="K7" s="5"/>
      <c r="L7" s="5"/>
      <c r="M7" s="5"/>
      <c r="N7" s="5"/>
      <c r="O7" s="6"/>
      <c r="P7" s="6"/>
      <c r="Q7" s="6"/>
      <c r="R7" s="6"/>
      <c r="S7" s="6"/>
      <c r="T7" s="6"/>
    </row>
    <row r="8" ht="21.75" customHeight="1">
      <c r="A8" s="24"/>
      <c r="B8" s="25"/>
      <c r="C8" s="34"/>
      <c r="D8" s="36" t="s">
        <v>25</v>
      </c>
      <c r="E8" s="30">
        <v>0.0</v>
      </c>
      <c r="F8" s="30">
        <v>0.25</v>
      </c>
      <c r="G8" s="30">
        <v>0.0</v>
      </c>
      <c r="H8" s="30">
        <v>0.0</v>
      </c>
      <c r="I8" s="30">
        <f t="shared" si="2"/>
        <v>0.25</v>
      </c>
      <c r="J8" s="5"/>
      <c r="K8" s="5"/>
      <c r="L8" s="5"/>
      <c r="M8" s="5"/>
      <c r="N8" s="5"/>
      <c r="O8" s="6"/>
      <c r="P8" s="6"/>
      <c r="Q8" s="6"/>
      <c r="R8" s="6"/>
      <c r="S8" s="6"/>
      <c r="T8" s="6"/>
    </row>
    <row r="9" ht="22.5" customHeight="1">
      <c r="A9" s="24"/>
      <c r="B9" s="25"/>
      <c r="C9" s="34"/>
      <c r="D9" s="28" t="s">
        <v>27</v>
      </c>
      <c r="E9" s="30">
        <v>0.0</v>
      </c>
      <c r="F9" s="30">
        <v>0.25</v>
      </c>
      <c r="G9" s="30">
        <v>0.0</v>
      </c>
      <c r="H9" s="30">
        <v>0.0</v>
      </c>
      <c r="I9" s="30">
        <f t="shared" si="2"/>
        <v>0.25</v>
      </c>
      <c r="J9" s="5"/>
      <c r="K9" s="5"/>
      <c r="L9" s="5"/>
      <c r="M9" s="5"/>
      <c r="N9" s="5"/>
      <c r="O9" s="6"/>
      <c r="P9" s="6"/>
      <c r="Q9" s="6"/>
      <c r="R9" s="6"/>
      <c r="S9" s="6"/>
      <c r="T9" s="6"/>
    </row>
    <row r="10" ht="39.75" customHeight="1">
      <c r="A10" s="24"/>
      <c r="B10" s="25"/>
      <c r="C10" s="34"/>
      <c r="D10" s="38" t="s">
        <v>30</v>
      </c>
      <c r="E10" s="30">
        <v>0.0</v>
      </c>
      <c r="F10" s="30">
        <v>0.5</v>
      </c>
      <c r="G10" s="30">
        <v>0.0</v>
      </c>
      <c r="H10" s="30">
        <v>0.0</v>
      </c>
      <c r="I10" s="30">
        <f t="shared" si="2"/>
        <v>0.5</v>
      </c>
      <c r="J10" s="5"/>
      <c r="K10" s="5"/>
      <c r="L10" s="5"/>
      <c r="M10" s="5"/>
      <c r="N10" s="5"/>
      <c r="O10" s="6"/>
      <c r="P10" s="6"/>
      <c r="Q10" s="6"/>
      <c r="R10" s="6"/>
      <c r="S10" s="6"/>
      <c r="T10" s="6"/>
    </row>
    <row r="11" ht="39.75" customHeight="1">
      <c r="A11" s="24"/>
      <c r="B11" s="25"/>
      <c r="C11" s="34"/>
      <c r="D11" s="38" t="s">
        <v>33</v>
      </c>
      <c r="E11" s="30">
        <v>0.0</v>
      </c>
      <c r="F11" s="30">
        <v>0.25</v>
      </c>
      <c r="G11" s="30">
        <v>0.0</v>
      </c>
      <c r="H11" s="30">
        <v>0.0</v>
      </c>
      <c r="I11" s="30">
        <f t="shared" si="2"/>
        <v>0.25</v>
      </c>
      <c r="J11" s="5"/>
      <c r="K11" s="5"/>
      <c r="L11" s="5"/>
      <c r="M11" s="5"/>
      <c r="N11" s="5"/>
      <c r="O11" s="6"/>
      <c r="P11" s="6"/>
      <c r="Q11" s="6"/>
      <c r="R11" s="6"/>
      <c r="S11" s="6"/>
      <c r="T11" s="6"/>
    </row>
    <row r="12" ht="39.75" customHeight="1">
      <c r="A12" s="24"/>
      <c r="B12" s="25"/>
      <c r="C12" s="15"/>
      <c r="D12" s="28" t="s">
        <v>35</v>
      </c>
      <c r="E12" s="30">
        <v>0.0</v>
      </c>
      <c r="F12" s="30">
        <v>0.25</v>
      </c>
      <c r="G12" s="30">
        <v>0.0</v>
      </c>
      <c r="H12" s="30">
        <v>0.0</v>
      </c>
      <c r="I12" s="30">
        <f t="shared" si="2"/>
        <v>0.25</v>
      </c>
      <c r="J12" s="5"/>
      <c r="K12" s="5"/>
      <c r="L12" s="5"/>
      <c r="M12" s="5"/>
      <c r="N12" s="5"/>
      <c r="O12" s="6"/>
      <c r="P12" s="6"/>
      <c r="Q12" s="6"/>
      <c r="R12" s="6"/>
      <c r="S12" s="6"/>
      <c r="T12" s="6"/>
    </row>
    <row r="13" ht="36.75" customHeight="1">
      <c r="A13" s="24"/>
      <c r="B13" s="25"/>
      <c r="C13" s="39" t="s">
        <v>37</v>
      </c>
      <c r="D13" s="40" t="s">
        <v>39</v>
      </c>
      <c r="E13" s="30">
        <v>0.0</v>
      </c>
      <c r="F13" s="30">
        <v>0.25</v>
      </c>
      <c r="G13" s="30">
        <v>0.0</v>
      </c>
      <c r="H13" s="30">
        <v>0.0</v>
      </c>
      <c r="I13" s="30">
        <f t="shared" si="2"/>
        <v>0.25</v>
      </c>
      <c r="J13" s="5"/>
      <c r="K13" s="5"/>
      <c r="L13" s="5"/>
      <c r="M13" s="5"/>
      <c r="N13" s="5"/>
      <c r="O13" s="6"/>
      <c r="P13" s="6"/>
      <c r="Q13" s="6"/>
      <c r="R13" s="6"/>
      <c r="S13" s="6"/>
      <c r="T13" s="6"/>
    </row>
    <row r="14" ht="27.0" customHeight="1">
      <c r="A14" s="24"/>
      <c r="B14" s="25"/>
      <c r="C14" s="41" t="s">
        <v>41</v>
      </c>
      <c r="D14" s="42" t="s">
        <v>43</v>
      </c>
      <c r="E14" s="30">
        <v>0.0</v>
      </c>
      <c r="F14" s="30">
        <v>0.25</v>
      </c>
      <c r="G14" s="30">
        <v>0.0</v>
      </c>
      <c r="H14" s="30">
        <v>0.0</v>
      </c>
      <c r="I14" s="30">
        <f t="shared" si="2"/>
        <v>0.25</v>
      </c>
      <c r="J14" s="5"/>
      <c r="K14" s="5"/>
      <c r="L14" s="5"/>
      <c r="M14" s="5"/>
      <c r="N14" s="5"/>
      <c r="O14" s="6"/>
      <c r="P14" s="6"/>
      <c r="Q14" s="6"/>
      <c r="R14" s="6"/>
      <c r="S14" s="6"/>
      <c r="T14" s="6"/>
    </row>
    <row r="15" ht="21.75" customHeight="1">
      <c r="A15" s="24"/>
      <c r="B15" s="25"/>
      <c r="C15" s="34"/>
      <c r="D15" s="42" t="s">
        <v>44</v>
      </c>
      <c r="E15" s="30">
        <v>0.0</v>
      </c>
      <c r="F15" s="30">
        <v>0.9</v>
      </c>
      <c r="G15" s="30">
        <v>0.0</v>
      </c>
      <c r="H15" s="30">
        <v>0.0</v>
      </c>
      <c r="I15" s="30">
        <f t="shared" si="2"/>
        <v>0.9</v>
      </c>
      <c r="J15" s="5"/>
      <c r="K15" s="5"/>
      <c r="L15" s="5"/>
      <c r="M15" s="5"/>
      <c r="N15" s="5"/>
      <c r="O15" s="6"/>
      <c r="P15" s="6"/>
      <c r="Q15" s="6"/>
      <c r="R15" s="6"/>
      <c r="S15" s="6"/>
      <c r="T15" s="6"/>
    </row>
    <row r="16" ht="36.75" customHeight="1">
      <c r="A16" s="24"/>
      <c r="B16" s="25"/>
      <c r="C16" s="14"/>
      <c r="D16" s="38" t="s">
        <v>47</v>
      </c>
      <c r="E16" s="30">
        <v>0.0</v>
      </c>
      <c r="F16" s="30">
        <v>0.5</v>
      </c>
      <c r="G16" s="30">
        <v>0.0</v>
      </c>
      <c r="H16" s="30">
        <v>0.0</v>
      </c>
      <c r="I16" s="30">
        <f t="shared" si="2"/>
        <v>0.5</v>
      </c>
      <c r="J16" s="5"/>
      <c r="K16" s="5"/>
      <c r="L16" s="5"/>
      <c r="M16" s="5"/>
      <c r="N16" s="5"/>
      <c r="O16" s="6"/>
      <c r="P16" s="6"/>
      <c r="Q16" s="6"/>
      <c r="R16" s="6"/>
      <c r="S16" s="6"/>
      <c r="T16" s="6"/>
    </row>
    <row r="17" ht="24.75" customHeight="1">
      <c r="A17" s="24"/>
      <c r="B17" s="25"/>
      <c r="C17" s="41" t="s">
        <v>48</v>
      </c>
      <c r="D17" s="38" t="s">
        <v>49</v>
      </c>
      <c r="E17" s="30">
        <v>1.0</v>
      </c>
      <c r="F17" s="30">
        <v>0.5</v>
      </c>
      <c r="G17" s="30">
        <v>0.0</v>
      </c>
      <c r="H17" s="30">
        <v>0.0</v>
      </c>
      <c r="I17" s="30">
        <f t="shared" si="2"/>
        <v>1.5</v>
      </c>
      <c r="J17" s="5"/>
      <c r="K17" s="5"/>
      <c r="L17" s="5"/>
      <c r="M17" s="5"/>
      <c r="N17" s="5"/>
      <c r="O17" s="6"/>
      <c r="P17" s="6"/>
      <c r="Q17" s="6"/>
      <c r="R17" s="6"/>
      <c r="S17" s="6"/>
      <c r="T17" s="6"/>
    </row>
    <row r="18" ht="24.75" customHeight="1">
      <c r="A18" s="24"/>
      <c r="B18" s="25"/>
      <c r="C18" s="15"/>
      <c r="D18" s="38" t="s">
        <v>50</v>
      </c>
      <c r="E18" s="30">
        <v>0.0</v>
      </c>
      <c r="F18" s="30">
        <v>0.5</v>
      </c>
      <c r="G18" s="30">
        <v>0.0</v>
      </c>
      <c r="H18" s="30">
        <v>0.0</v>
      </c>
      <c r="I18" s="30">
        <f t="shared" si="2"/>
        <v>0.5</v>
      </c>
      <c r="J18" s="5"/>
      <c r="K18" s="5"/>
      <c r="L18" s="5"/>
      <c r="M18" s="5"/>
      <c r="N18" s="5"/>
      <c r="O18" s="6"/>
      <c r="P18" s="6"/>
      <c r="Q18" s="6"/>
      <c r="R18" s="6"/>
      <c r="S18" s="6"/>
      <c r="T18" s="6"/>
    </row>
    <row r="19" ht="13.5" customHeight="1">
      <c r="A19" s="16" t="s">
        <v>45</v>
      </c>
      <c r="B19" s="18" t="s">
        <v>53</v>
      </c>
      <c r="C19" s="20"/>
      <c r="D19" s="22"/>
      <c r="E19" s="23">
        <f t="shared" ref="E19:I19" si="3">SUM(E20:E29)</f>
        <v>2</v>
      </c>
      <c r="F19" s="23">
        <f t="shared" si="3"/>
        <v>2.6</v>
      </c>
      <c r="G19" s="23">
        <f t="shared" si="3"/>
        <v>2</v>
      </c>
      <c r="H19" s="23">
        <f t="shared" si="3"/>
        <v>2.339319928</v>
      </c>
      <c r="I19" s="23">
        <f t="shared" si="3"/>
        <v>8.939319928</v>
      </c>
      <c r="J19" s="5"/>
      <c r="K19" s="5"/>
      <c r="L19" s="5"/>
      <c r="M19" s="5"/>
      <c r="N19" s="5"/>
      <c r="O19" s="6"/>
      <c r="P19" s="6"/>
      <c r="Q19" s="6"/>
      <c r="R19" s="6"/>
      <c r="S19" s="6"/>
      <c r="T19" s="6"/>
    </row>
    <row r="20" ht="13.5" customHeight="1">
      <c r="A20" s="24"/>
      <c r="B20" s="45"/>
      <c r="C20" s="46" t="s">
        <v>57</v>
      </c>
      <c r="D20" s="38" t="s">
        <v>59</v>
      </c>
      <c r="E20" s="47">
        <v>1.0</v>
      </c>
      <c r="F20" s="47">
        <v>0.0</v>
      </c>
      <c r="G20" s="47">
        <v>0.0</v>
      </c>
      <c r="H20" s="30">
        <f t="shared" ref="H20:H29" si="4">SUM(E20:G20)*L$163</f>
        <v>0.3544424134</v>
      </c>
      <c r="I20" s="30">
        <f t="shared" ref="I20:I29" si="5">SUM(E20:H20)</f>
        <v>1.354442413</v>
      </c>
      <c r="J20" s="6"/>
      <c r="K20" s="5"/>
      <c r="L20" s="5"/>
      <c r="M20" s="5"/>
      <c r="N20" s="5"/>
      <c r="O20" s="6"/>
      <c r="P20" s="6"/>
      <c r="Q20" s="6"/>
      <c r="R20" s="6"/>
      <c r="S20" s="6"/>
      <c r="T20" s="6"/>
    </row>
    <row r="21" ht="15.75" customHeight="1">
      <c r="A21" s="24"/>
      <c r="B21" s="45"/>
      <c r="C21" s="34"/>
      <c r="D21" s="38" t="s">
        <v>65</v>
      </c>
      <c r="E21" s="47">
        <v>0.0</v>
      </c>
      <c r="F21" s="47">
        <v>1.0</v>
      </c>
      <c r="G21" s="47">
        <v>0.0</v>
      </c>
      <c r="H21" s="30">
        <f t="shared" si="4"/>
        <v>0.3544424134</v>
      </c>
      <c r="I21" s="30">
        <f t="shared" si="5"/>
        <v>1.354442413</v>
      </c>
      <c r="J21" s="6"/>
      <c r="K21" s="5"/>
      <c r="L21" s="5"/>
      <c r="M21" s="5"/>
      <c r="N21" s="5"/>
      <c r="O21" s="6"/>
      <c r="P21" s="6"/>
      <c r="Q21" s="6"/>
      <c r="R21" s="6"/>
      <c r="S21" s="6"/>
      <c r="T21" s="6"/>
    </row>
    <row r="22" ht="15.75" customHeight="1">
      <c r="A22" s="24"/>
      <c r="B22" s="45"/>
      <c r="C22" s="34"/>
      <c r="D22" s="38" t="s">
        <v>66</v>
      </c>
      <c r="E22" s="47">
        <v>0.0</v>
      </c>
      <c r="F22" s="47">
        <v>0.3</v>
      </c>
      <c r="G22" s="47">
        <v>0.0</v>
      </c>
      <c r="H22" s="30">
        <f t="shared" si="4"/>
        <v>0.106332724</v>
      </c>
      <c r="I22" s="30">
        <f t="shared" si="5"/>
        <v>0.406332724</v>
      </c>
      <c r="J22" s="6"/>
      <c r="K22" s="5"/>
      <c r="L22" s="5"/>
      <c r="M22" s="5"/>
      <c r="N22" s="5"/>
      <c r="O22" s="6"/>
      <c r="P22" s="6"/>
      <c r="Q22" s="6"/>
      <c r="R22" s="6"/>
      <c r="S22" s="6"/>
      <c r="T22" s="6"/>
    </row>
    <row r="23" ht="15.75" customHeight="1">
      <c r="A23" s="24"/>
      <c r="B23" s="45"/>
      <c r="C23" s="34"/>
      <c r="D23" s="38" t="s">
        <v>67</v>
      </c>
      <c r="E23" s="47">
        <v>0.0</v>
      </c>
      <c r="F23" s="47">
        <v>0.0</v>
      </c>
      <c r="G23" s="47">
        <v>0.75</v>
      </c>
      <c r="H23" s="30">
        <f t="shared" si="4"/>
        <v>0.26583181</v>
      </c>
      <c r="I23" s="30">
        <f t="shared" si="5"/>
        <v>1.01583181</v>
      </c>
      <c r="J23" s="6"/>
      <c r="K23" s="5"/>
      <c r="L23" s="5"/>
      <c r="M23" s="5"/>
      <c r="N23" s="5"/>
      <c r="O23" s="6"/>
      <c r="P23" s="6"/>
      <c r="Q23" s="6"/>
      <c r="R23" s="6"/>
      <c r="S23" s="6"/>
      <c r="T23" s="6"/>
    </row>
    <row r="24" ht="15.75" customHeight="1">
      <c r="A24" s="24"/>
      <c r="B24" s="45"/>
      <c r="C24" s="34"/>
      <c r="D24" s="38" t="s">
        <v>70</v>
      </c>
      <c r="E24" s="47">
        <v>0.0</v>
      </c>
      <c r="F24" s="47">
        <v>0.0</v>
      </c>
      <c r="G24" s="47">
        <v>0.5</v>
      </c>
      <c r="H24" s="30">
        <f t="shared" si="4"/>
        <v>0.1772212067</v>
      </c>
      <c r="I24" s="30">
        <f t="shared" si="5"/>
        <v>0.6772212067</v>
      </c>
      <c r="J24" s="6"/>
      <c r="K24" s="5"/>
      <c r="L24" s="5"/>
      <c r="M24" s="5"/>
      <c r="N24" s="5"/>
      <c r="O24" s="6"/>
      <c r="P24" s="6"/>
      <c r="Q24" s="6"/>
      <c r="R24" s="6"/>
      <c r="S24" s="6"/>
      <c r="T24" s="6"/>
    </row>
    <row r="25" ht="15.75" customHeight="1">
      <c r="A25" s="24"/>
      <c r="B25" s="45"/>
      <c r="C25" s="15"/>
      <c r="D25" s="38" t="s">
        <v>72</v>
      </c>
      <c r="E25" s="47">
        <v>0.0</v>
      </c>
      <c r="F25" s="47">
        <v>0.3</v>
      </c>
      <c r="G25" s="47">
        <v>0.0</v>
      </c>
      <c r="H25" s="30">
        <f t="shared" si="4"/>
        <v>0.106332724</v>
      </c>
      <c r="I25" s="30">
        <f t="shared" si="5"/>
        <v>0.406332724</v>
      </c>
      <c r="J25" s="6"/>
      <c r="K25" s="5"/>
      <c r="L25" s="5"/>
      <c r="M25" s="5"/>
      <c r="N25" s="5"/>
      <c r="O25" s="6"/>
      <c r="P25" s="6"/>
      <c r="Q25" s="6"/>
      <c r="R25" s="6"/>
      <c r="S25" s="6"/>
      <c r="T25" s="6"/>
    </row>
    <row r="26" ht="15.75" customHeight="1">
      <c r="A26" s="24"/>
      <c r="B26" s="45"/>
      <c r="C26" s="46" t="s">
        <v>74</v>
      </c>
      <c r="D26" s="49" t="s">
        <v>79</v>
      </c>
      <c r="E26" s="47">
        <v>1.0</v>
      </c>
      <c r="F26" s="47">
        <v>0.0</v>
      </c>
      <c r="G26" s="47">
        <v>0.0</v>
      </c>
      <c r="H26" s="30">
        <f t="shared" si="4"/>
        <v>0.3544424134</v>
      </c>
      <c r="I26" s="30">
        <f t="shared" si="5"/>
        <v>1.354442413</v>
      </c>
      <c r="J26" s="6"/>
      <c r="K26" s="5"/>
      <c r="L26" s="5"/>
      <c r="M26" s="5"/>
      <c r="N26" s="5"/>
      <c r="O26" s="6"/>
      <c r="P26" s="6"/>
      <c r="Q26" s="6"/>
      <c r="R26" s="6"/>
      <c r="S26" s="6"/>
      <c r="T26" s="6"/>
    </row>
    <row r="27" ht="15.75" customHeight="1">
      <c r="A27" s="24"/>
      <c r="B27" s="45"/>
      <c r="C27" s="34"/>
      <c r="D27" s="49" t="s">
        <v>84</v>
      </c>
      <c r="E27" s="47">
        <v>0.0</v>
      </c>
      <c r="F27" s="47">
        <v>1.0</v>
      </c>
      <c r="G27" s="47">
        <v>0.0</v>
      </c>
      <c r="H27" s="30">
        <f t="shared" si="4"/>
        <v>0.3544424134</v>
      </c>
      <c r="I27" s="30">
        <f t="shared" si="5"/>
        <v>1.354442413</v>
      </c>
      <c r="J27" s="6"/>
      <c r="K27" s="5"/>
      <c r="L27" s="5"/>
      <c r="M27" s="5"/>
      <c r="N27" s="5"/>
      <c r="O27" s="6"/>
      <c r="P27" s="6"/>
      <c r="Q27" s="6"/>
      <c r="R27" s="6"/>
      <c r="S27" s="6"/>
      <c r="T27" s="6"/>
    </row>
    <row r="28" ht="15.75" customHeight="1">
      <c r="A28" s="24"/>
      <c r="B28" s="45"/>
      <c r="C28" s="34"/>
      <c r="D28" s="49" t="s">
        <v>87</v>
      </c>
      <c r="E28" s="47">
        <v>0.0</v>
      </c>
      <c r="F28" s="47">
        <v>0.0</v>
      </c>
      <c r="G28" s="47">
        <v>0.25</v>
      </c>
      <c r="H28" s="30">
        <f t="shared" si="4"/>
        <v>0.08861060334</v>
      </c>
      <c r="I28" s="30">
        <f t="shared" si="5"/>
        <v>0.3386106033</v>
      </c>
      <c r="J28" s="6"/>
      <c r="K28" s="5"/>
      <c r="L28" s="5"/>
      <c r="M28" s="5"/>
      <c r="N28" s="5"/>
      <c r="O28" s="6"/>
      <c r="P28" s="6"/>
      <c r="Q28" s="6"/>
      <c r="R28" s="6"/>
      <c r="S28" s="6"/>
      <c r="T28" s="6"/>
    </row>
    <row r="29" ht="15.75" customHeight="1">
      <c r="A29" s="24"/>
      <c r="B29" s="45"/>
      <c r="C29" s="15"/>
      <c r="D29" s="49" t="s">
        <v>90</v>
      </c>
      <c r="E29" s="47">
        <v>0.0</v>
      </c>
      <c r="F29" s="47">
        <v>0.0</v>
      </c>
      <c r="G29" s="47">
        <v>0.5</v>
      </c>
      <c r="H29" s="30">
        <f t="shared" si="4"/>
        <v>0.1772212067</v>
      </c>
      <c r="I29" s="30">
        <f t="shared" si="5"/>
        <v>0.6772212067</v>
      </c>
      <c r="J29" s="6"/>
      <c r="K29" s="5"/>
      <c r="L29" s="5"/>
      <c r="M29" s="5"/>
      <c r="N29" s="5"/>
      <c r="O29" s="6"/>
      <c r="P29" s="6"/>
      <c r="Q29" s="6"/>
      <c r="R29" s="6"/>
      <c r="S29" s="6"/>
      <c r="T29" s="6"/>
    </row>
    <row r="30" ht="30.75" customHeight="1">
      <c r="A30" s="16" t="s">
        <v>63</v>
      </c>
      <c r="B30" s="18" t="s">
        <v>93</v>
      </c>
      <c r="C30" s="20"/>
      <c r="D30" s="22"/>
      <c r="E30" s="23">
        <f t="shared" ref="E30:I30" si="6">SUM(E31:E51)</f>
        <v>9.103311258</v>
      </c>
      <c r="F30" s="23">
        <f t="shared" si="6"/>
        <v>7.15</v>
      </c>
      <c r="G30" s="23">
        <f t="shared" si="6"/>
        <v>3.25</v>
      </c>
      <c r="H30" s="23">
        <f t="shared" si="6"/>
        <v>6.912800711</v>
      </c>
      <c r="I30" s="23">
        <f t="shared" si="6"/>
        <v>26.41611197</v>
      </c>
      <c r="J30" s="5"/>
      <c r="K30" s="5"/>
      <c r="L30" s="5"/>
      <c r="M30" s="5"/>
      <c r="N30" s="5"/>
      <c r="O30" s="6"/>
      <c r="P30" s="6"/>
      <c r="Q30" s="6"/>
      <c r="R30" s="6"/>
      <c r="S30" s="6"/>
      <c r="T30" s="6"/>
    </row>
    <row r="31" ht="15.75" customHeight="1">
      <c r="A31" s="24"/>
      <c r="B31" s="45"/>
      <c r="C31" s="46" t="s">
        <v>97</v>
      </c>
      <c r="D31" s="38" t="s">
        <v>98</v>
      </c>
      <c r="E31" s="47">
        <v>2.0</v>
      </c>
      <c r="F31" s="47">
        <v>0.0</v>
      </c>
      <c r="G31" s="47">
        <v>0.0</v>
      </c>
      <c r="H31" s="30">
        <f t="shared" ref="H31:H51" si="7">SUM(E31:G31)*L$163</f>
        <v>0.7088848268</v>
      </c>
      <c r="I31" s="30">
        <f t="shared" ref="I31:I51" si="8">SUM(E31:H31)</f>
        <v>2.708884827</v>
      </c>
      <c r="J31" s="6"/>
      <c r="K31" s="5"/>
      <c r="L31" s="5"/>
      <c r="M31" s="5"/>
      <c r="N31" s="5"/>
      <c r="O31" s="6"/>
      <c r="P31" s="6"/>
      <c r="Q31" s="6"/>
      <c r="R31" s="6"/>
      <c r="S31" s="6"/>
      <c r="T31" s="6"/>
    </row>
    <row r="32" ht="15.75" customHeight="1">
      <c r="A32" s="24"/>
      <c r="B32" s="45"/>
      <c r="C32" s="15"/>
      <c r="D32" s="38" t="s">
        <v>101</v>
      </c>
      <c r="E32" s="47">
        <v>0.0</v>
      </c>
      <c r="F32" s="47">
        <v>0.4</v>
      </c>
      <c r="G32" s="47">
        <v>0.0</v>
      </c>
      <c r="H32" s="30">
        <f t="shared" si="7"/>
        <v>0.1417769654</v>
      </c>
      <c r="I32" s="30">
        <f t="shared" si="8"/>
        <v>0.5417769654</v>
      </c>
      <c r="J32" s="6"/>
      <c r="K32" s="5"/>
      <c r="L32" s="5"/>
      <c r="M32" s="5"/>
      <c r="N32" s="5"/>
      <c r="O32" s="6"/>
      <c r="P32" s="6"/>
      <c r="Q32" s="6"/>
      <c r="R32" s="6"/>
      <c r="S32" s="6"/>
      <c r="T32" s="6"/>
    </row>
    <row r="33" ht="15.75" customHeight="1">
      <c r="A33" s="50"/>
      <c r="B33" s="50"/>
      <c r="C33" s="51" t="s">
        <v>104</v>
      </c>
      <c r="D33" s="36" t="s">
        <v>105</v>
      </c>
      <c r="E33" s="52">
        <v>0.0</v>
      </c>
      <c r="F33" s="52">
        <v>1.0</v>
      </c>
      <c r="G33" s="52">
        <v>0.0</v>
      </c>
      <c r="H33" s="30">
        <f t="shared" si="7"/>
        <v>0.3544424134</v>
      </c>
      <c r="I33" s="30">
        <f t="shared" si="8"/>
        <v>1.354442413</v>
      </c>
      <c r="J33" s="6"/>
      <c r="K33" s="5"/>
      <c r="L33" s="5"/>
      <c r="M33" s="5"/>
      <c r="N33" s="5"/>
      <c r="O33" s="6"/>
      <c r="P33" s="6"/>
      <c r="Q33" s="6"/>
      <c r="R33" s="6"/>
      <c r="S33" s="6"/>
      <c r="T33" s="6"/>
    </row>
    <row r="34" ht="15.75" customHeight="1">
      <c r="A34" s="24"/>
      <c r="B34" s="45"/>
      <c r="C34" s="46" t="s">
        <v>108</v>
      </c>
      <c r="D34" s="38" t="s">
        <v>110</v>
      </c>
      <c r="E34" s="47">
        <v>2.0</v>
      </c>
      <c r="F34" s="47">
        <v>0.0</v>
      </c>
      <c r="G34" s="47">
        <v>0.0</v>
      </c>
      <c r="H34" s="30">
        <f t="shared" si="7"/>
        <v>0.7088848268</v>
      </c>
      <c r="I34" s="30">
        <f t="shared" si="8"/>
        <v>2.708884827</v>
      </c>
      <c r="J34" s="6"/>
      <c r="K34" s="5"/>
      <c r="L34" s="5"/>
      <c r="M34" s="5"/>
      <c r="N34" s="5"/>
      <c r="O34" s="6"/>
      <c r="P34" s="6"/>
      <c r="Q34" s="6"/>
      <c r="R34" s="6"/>
      <c r="S34" s="6"/>
      <c r="T34" s="6"/>
    </row>
    <row r="35" ht="15.75" customHeight="1">
      <c r="A35" s="24"/>
      <c r="B35" s="45"/>
      <c r="C35" s="34"/>
      <c r="D35" s="38" t="s">
        <v>113</v>
      </c>
      <c r="E35" s="47">
        <v>0.0</v>
      </c>
      <c r="F35" s="47">
        <v>0.5</v>
      </c>
      <c r="G35" s="47">
        <v>0.0</v>
      </c>
      <c r="H35" s="30">
        <f t="shared" si="7"/>
        <v>0.1772212067</v>
      </c>
      <c r="I35" s="30">
        <f t="shared" si="8"/>
        <v>0.6772212067</v>
      </c>
      <c r="J35" s="6"/>
      <c r="K35" s="5"/>
      <c r="L35" s="5"/>
      <c r="M35" s="5"/>
      <c r="N35" s="5"/>
      <c r="O35" s="6"/>
      <c r="P35" s="6"/>
      <c r="Q35" s="6"/>
      <c r="R35" s="6"/>
      <c r="S35" s="6"/>
      <c r="T35" s="6"/>
    </row>
    <row r="36" ht="15.75" customHeight="1">
      <c r="A36" s="24"/>
      <c r="B36" s="45"/>
      <c r="C36" s="34"/>
      <c r="D36" s="38" t="s">
        <v>115</v>
      </c>
      <c r="E36" s="47">
        <v>0.0</v>
      </c>
      <c r="F36" s="47">
        <v>1.0</v>
      </c>
      <c r="G36" s="47">
        <v>0.0</v>
      </c>
      <c r="H36" s="30">
        <f t="shared" si="7"/>
        <v>0.3544424134</v>
      </c>
      <c r="I36" s="30">
        <f t="shared" si="8"/>
        <v>1.354442413</v>
      </c>
      <c r="J36" s="6"/>
      <c r="K36" s="5"/>
      <c r="L36" s="5"/>
      <c r="M36" s="5"/>
      <c r="N36" s="5"/>
      <c r="O36" s="6"/>
      <c r="P36" s="6"/>
      <c r="Q36" s="6"/>
      <c r="R36" s="6"/>
      <c r="S36" s="6"/>
      <c r="T36" s="6"/>
    </row>
    <row r="37" ht="40.5" customHeight="1">
      <c r="A37" s="24"/>
      <c r="B37" s="45"/>
      <c r="C37" s="34"/>
      <c r="D37" s="38" t="s">
        <v>118</v>
      </c>
      <c r="E37" s="47">
        <v>0.0</v>
      </c>
      <c r="F37" s="47">
        <v>0.25</v>
      </c>
      <c r="G37" s="47">
        <v>0.0</v>
      </c>
      <c r="H37" s="30">
        <f t="shared" si="7"/>
        <v>0.08861060334</v>
      </c>
      <c r="I37" s="30">
        <f t="shared" si="8"/>
        <v>0.3386106033</v>
      </c>
      <c r="J37" s="6"/>
      <c r="K37" s="5"/>
      <c r="L37" s="5"/>
      <c r="M37" s="5"/>
      <c r="N37" s="5"/>
      <c r="O37" s="6"/>
      <c r="P37" s="6"/>
      <c r="Q37" s="6"/>
      <c r="R37" s="6"/>
      <c r="S37" s="6"/>
      <c r="T37" s="6"/>
    </row>
    <row r="38" ht="15.75" customHeight="1">
      <c r="A38" s="24"/>
      <c r="B38" s="45"/>
      <c r="C38" s="15"/>
      <c r="D38" s="38" t="s">
        <v>121</v>
      </c>
      <c r="E38" s="47">
        <v>0.0</v>
      </c>
      <c r="F38" s="47">
        <v>0.0</v>
      </c>
      <c r="G38" s="47">
        <v>1.0</v>
      </c>
      <c r="H38" s="30">
        <f t="shared" si="7"/>
        <v>0.3544424134</v>
      </c>
      <c r="I38" s="30">
        <f t="shared" si="8"/>
        <v>1.354442413</v>
      </c>
      <c r="J38" s="6"/>
      <c r="K38" s="5"/>
      <c r="L38" s="5"/>
      <c r="M38" s="5"/>
      <c r="N38" s="5"/>
      <c r="O38" s="6"/>
      <c r="P38" s="6"/>
      <c r="Q38" s="6"/>
      <c r="R38" s="6"/>
      <c r="S38" s="6"/>
      <c r="T38" s="6"/>
    </row>
    <row r="39" ht="15.75" customHeight="1">
      <c r="A39" s="24"/>
      <c r="B39" s="45"/>
      <c r="C39" s="46" t="s">
        <v>123</v>
      </c>
      <c r="D39" s="38" t="s">
        <v>124</v>
      </c>
      <c r="E39" s="47">
        <v>2.0</v>
      </c>
      <c r="F39" s="47">
        <v>0.0</v>
      </c>
      <c r="G39" s="47">
        <v>0.0</v>
      </c>
      <c r="H39" s="30">
        <f t="shared" si="7"/>
        <v>0.7088848268</v>
      </c>
      <c r="I39" s="30">
        <f t="shared" si="8"/>
        <v>2.708884827</v>
      </c>
      <c r="J39" s="6"/>
      <c r="K39" s="5"/>
      <c r="L39" s="5"/>
      <c r="M39" s="5"/>
      <c r="N39" s="5"/>
      <c r="O39" s="6"/>
      <c r="P39" s="6"/>
      <c r="Q39" s="6"/>
      <c r="R39" s="6"/>
      <c r="S39" s="6"/>
      <c r="T39" s="6"/>
    </row>
    <row r="40" ht="15.75" customHeight="1">
      <c r="A40" s="24"/>
      <c r="B40" s="45"/>
      <c r="C40" s="34"/>
      <c r="D40" s="38" t="s">
        <v>127</v>
      </c>
      <c r="E40" s="47">
        <v>1.0</v>
      </c>
      <c r="F40" s="47">
        <v>0.5</v>
      </c>
      <c r="G40" s="47">
        <v>0.0</v>
      </c>
      <c r="H40" s="30">
        <f t="shared" si="7"/>
        <v>0.5316636201</v>
      </c>
      <c r="I40" s="30">
        <f t="shared" si="8"/>
        <v>2.03166362</v>
      </c>
      <c r="J40" s="6"/>
      <c r="K40" s="5"/>
      <c r="L40" s="5"/>
      <c r="M40" s="5"/>
      <c r="N40" s="5"/>
      <c r="O40" s="6"/>
      <c r="P40" s="6"/>
      <c r="Q40" s="6"/>
      <c r="R40" s="6"/>
      <c r="S40" s="6"/>
      <c r="T40" s="6"/>
    </row>
    <row r="41" ht="15.75" customHeight="1">
      <c r="A41" s="24"/>
      <c r="B41" s="45"/>
      <c r="C41" s="34"/>
      <c r="D41" s="38" t="s">
        <v>128</v>
      </c>
      <c r="E41" s="47">
        <v>0.0</v>
      </c>
      <c r="F41" s="47">
        <v>0.6</v>
      </c>
      <c r="G41" s="47">
        <v>0.0</v>
      </c>
      <c r="H41" s="30">
        <f t="shared" si="7"/>
        <v>0.212665448</v>
      </c>
      <c r="I41" s="30">
        <f t="shared" si="8"/>
        <v>0.812665448</v>
      </c>
      <c r="J41" s="6"/>
      <c r="K41" s="5"/>
      <c r="L41" s="5"/>
      <c r="M41" s="5"/>
      <c r="N41" s="5"/>
      <c r="O41" s="6"/>
      <c r="P41" s="6"/>
      <c r="Q41" s="6"/>
      <c r="R41" s="6"/>
      <c r="S41" s="6"/>
      <c r="T41" s="6"/>
    </row>
    <row r="42" ht="15.75" customHeight="1">
      <c r="A42" s="24"/>
      <c r="B42" s="45"/>
      <c r="C42" s="34"/>
      <c r="D42" s="38" t="s">
        <v>130</v>
      </c>
      <c r="E42" s="47">
        <v>0.0</v>
      </c>
      <c r="F42" s="47">
        <v>0.5</v>
      </c>
      <c r="G42" s="47">
        <v>0.0</v>
      </c>
      <c r="H42" s="30">
        <f t="shared" si="7"/>
        <v>0.1772212067</v>
      </c>
      <c r="I42" s="30">
        <f t="shared" si="8"/>
        <v>0.6772212067</v>
      </c>
      <c r="J42" s="6"/>
      <c r="K42" s="5"/>
      <c r="L42" s="5"/>
      <c r="M42" s="5"/>
      <c r="N42" s="5"/>
      <c r="O42" s="6"/>
      <c r="P42" s="6"/>
      <c r="Q42" s="6"/>
      <c r="R42" s="6"/>
      <c r="S42" s="6"/>
      <c r="T42" s="6"/>
    </row>
    <row r="43" ht="15.75" customHeight="1">
      <c r="A43" s="24"/>
      <c r="B43" s="45"/>
      <c r="C43" s="15"/>
      <c r="D43" s="38" t="s">
        <v>131</v>
      </c>
      <c r="E43" s="47">
        <v>0.0</v>
      </c>
      <c r="F43" s="47">
        <v>0.0</v>
      </c>
      <c r="G43" s="47">
        <v>0.6</v>
      </c>
      <c r="H43" s="30">
        <f t="shared" si="7"/>
        <v>0.212665448</v>
      </c>
      <c r="I43" s="30">
        <f t="shared" si="8"/>
        <v>0.812665448</v>
      </c>
      <c r="J43" s="6"/>
      <c r="K43" s="5"/>
      <c r="L43" s="5"/>
      <c r="M43" s="5"/>
      <c r="N43" s="5"/>
      <c r="O43" s="6"/>
      <c r="P43" s="6"/>
      <c r="Q43" s="6"/>
      <c r="R43" s="6"/>
      <c r="S43" s="6"/>
      <c r="T43" s="6"/>
    </row>
    <row r="44" ht="25.5" customHeight="1">
      <c r="A44" s="24"/>
      <c r="B44" s="45"/>
      <c r="C44" s="46" t="s">
        <v>132</v>
      </c>
      <c r="D44" s="38" t="s">
        <v>133</v>
      </c>
      <c r="E44" s="47">
        <v>0.6</v>
      </c>
      <c r="F44" s="47">
        <v>0.0</v>
      </c>
      <c r="G44" s="47">
        <v>0.0</v>
      </c>
      <c r="H44" s="30">
        <f t="shared" si="7"/>
        <v>0.212665448</v>
      </c>
      <c r="I44" s="30">
        <f t="shared" si="8"/>
        <v>0.812665448</v>
      </c>
      <c r="J44" s="6"/>
      <c r="K44" s="5"/>
      <c r="L44" s="5"/>
      <c r="M44" s="5"/>
      <c r="N44" s="5"/>
      <c r="O44" s="6"/>
      <c r="P44" s="6"/>
      <c r="Q44" s="6"/>
      <c r="R44" s="6"/>
      <c r="S44" s="6"/>
      <c r="T44" s="6"/>
    </row>
    <row r="45" ht="28.5" customHeight="1">
      <c r="A45" s="24"/>
      <c r="B45" s="45"/>
      <c r="C45" s="34"/>
      <c r="D45" s="38" t="s">
        <v>134</v>
      </c>
      <c r="E45" s="47">
        <v>0.0</v>
      </c>
      <c r="F45" s="47">
        <v>0.6</v>
      </c>
      <c r="G45" s="47">
        <v>0.0</v>
      </c>
      <c r="H45" s="30">
        <f t="shared" si="7"/>
        <v>0.212665448</v>
      </c>
      <c r="I45" s="30">
        <f t="shared" si="8"/>
        <v>0.812665448</v>
      </c>
      <c r="J45" s="6"/>
      <c r="K45" s="5"/>
      <c r="L45" s="5"/>
      <c r="M45" s="5"/>
      <c r="N45" s="5"/>
      <c r="O45" s="6"/>
      <c r="P45" s="6"/>
      <c r="Q45" s="6"/>
      <c r="R45" s="6"/>
      <c r="S45" s="6"/>
      <c r="T45" s="6"/>
    </row>
    <row r="46" ht="21.0" customHeight="1">
      <c r="A46" s="24"/>
      <c r="B46" s="45"/>
      <c r="C46" s="15"/>
      <c r="D46" s="38" t="s">
        <v>135</v>
      </c>
      <c r="E46" s="47">
        <v>0.0</v>
      </c>
      <c r="F46" s="47">
        <v>0.0</v>
      </c>
      <c r="G46" s="47">
        <v>0.4</v>
      </c>
      <c r="H46" s="30">
        <f t="shared" si="7"/>
        <v>0.1417769654</v>
      </c>
      <c r="I46" s="30">
        <f t="shared" si="8"/>
        <v>0.5417769654</v>
      </c>
      <c r="J46" s="6"/>
      <c r="K46" s="5"/>
      <c r="L46" s="5"/>
      <c r="M46" s="5"/>
      <c r="N46" s="5"/>
      <c r="O46" s="6"/>
      <c r="P46" s="6"/>
      <c r="Q46" s="6"/>
      <c r="R46" s="6"/>
      <c r="S46" s="6"/>
      <c r="T46" s="6"/>
    </row>
    <row r="47" ht="21.0" customHeight="1">
      <c r="A47" s="24"/>
      <c r="B47" s="53"/>
      <c r="C47" s="54" t="s">
        <v>136</v>
      </c>
      <c r="D47" s="55" t="s">
        <v>137</v>
      </c>
      <c r="E47" s="47">
        <v>1.5</v>
      </c>
      <c r="F47" s="47">
        <v>0.0</v>
      </c>
      <c r="G47" s="47">
        <v>0.0</v>
      </c>
      <c r="H47" s="30">
        <f t="shared" si="7"/>
        <v>0.5316636201</v>
      </c>
      <c r="I47" s="30">
        <f t="shared" si="8"/>
        <v>2.03166362</v>
      </c>
      <c r="J47" s="6"/>
      <c r="K47" s="5"/>
      <c r="L47" s="5"/>
      <c r="M47" s="5"/>
      <c r="N47" s="5"/>
      <c r="O47" s="6"/>
      <c r="P47" s="6"/>
      <c r="Q47" s="6"/>
      <c r="R47" s="6"/>
      <c r="S47" s="6"/>
      <c r="T47" s="6"/>
    </row>
    <row r="48" ht="21.75" customHeight="1">
      <c r="A48" s="24"/>
      <c r="B48" s="53"/>
      <c r="C48" s="34"/>
      <c r="D48" s="56" t="s">
        <v>138</v>
      </c>
      <c r="E48" s="47">
        <v>0.0</v>
      </c>
      <c r="F48" s="47">
        <v>0.6</v>
      </c>
      <c r="G48" s="47">
        <v>0.0</v>
      </c>
      <c r="H48" s="30">
        <f t="shared" si="7"/>
        <v>0.212665448</v>
      </c>
      <c r="I48" s="30">
        <f t="shared" si="8"/>
        <v>0.812665448</v>
      </c>
      <c r="J48" s="6"/>
      <c r="K48" s="5"/>
      <c r="L48" s="5"/>
      <c r="M48" s="5"/>
      <c r="N48" s="5"/>
      <c r="O48" s="6"/>
      <c r="P48" s="6"/>
      <c r="Q48" s="6"/>
      <c r="R48" s="6"/>
      <c r="S48" s="6"/>
      <c r="T48" s="6"/>
    </row>
    <row r="49" ht="30.0" customHeight="1">
      <c r="A49" s="24"/>
      <c r="B49" s="53"/>
      <c r="C49" s="34"/>
      <c r="D49" s="56" t="s">
        <v>139</v>
      </c>
      <c r="E49" s="47">
        <v>0.0</v>
      </c>
      <c r="F49" s="47">
        <v>1.0</v>
      </c>
      <c r="G49" s="47">
        <v>0.0</v>
      </c>
      <c r="H49" s="30">
        <f t="shared" si="7"/>
        <v>0.3544424134</v>
      </c>
      <c r="I49" s="30">
        <f t="shared" si="8"/>
        <v>1.354442413</v>
      </c>
      <c r="J49" s="6"/>
      <c r="K49" s="5"/>
      <c r="L49" s="5"/>
      <c r="M49" s="5"/>
      <c r="N49" s="5"/>
      <c r="O49" s="6"/>
      <c r="P49" s="6"/>
      <c r="Q49" s="6"/>
      <c r="R49" s="6"/>
      <c r="S49" s="6"/>
      <c r="T49" s="6"/>
    </row>
    <row r="50" ht="15.75" customHeight="1">
      <c r="A50" s="24"/>
      <c r="B50" s="53"/>
      <c r="C50" s="34"/>
      <c r="D50" s="56" t="s">
        <v>140</v>
      </c>
      <c r="E50" s="47">
        <v>0.00331125827814535</v>
      </c>
      <c r="F50" s="47">
        <v>0.0</v>
      </c>
      <c r="G50" s="47">
        <v>1.25</v>
      </c>
      <c r="H50" s="30">
        <f t="shared" si="7"/>
        <v>0.4442266671</v>
      </c>
      <c r="I50" s="30">
        <f t="shared" si="8"/>
        <v>1.697537925</v>
      </c>
      <c r="J50" s="6"/>
      <c r="K50" s="5"/>
      <c r="L50" s="5"/>
      <c r="M50" s="5"/>
      <c r="N50" s="5"/>
      <c r="O50" s="6"/>
      <c r="P50" s="6"/>
      <c r="Q50" s="6"/>
      <c r="R50" s="6"/>
      <c r="S50" s="6"/>
      <c r="T50" s="6"/>
    </row>
    <row r="51" ht="15.75" customHeight="1">
      <c r="A51" s="24"/>
      <c r="B51" s="53"/>
      <c r="C51" s="15"/>
      <c r="D51" s="56" t="s">
        <v>141</v>
      </c>
      <c r="E51" s="47">
        <v>0.0</v>
      </c>
      <c r="F51" s="47">
        <v>0.2</v>
      </c>
      <c r="G51" s="47">
        <v>0.0</v>
      </c>
      <c r="H51" s="30">
        <f t="shared" si="7"/>
        <v>0.07088848268</v>
      </c>
      <c r="I51" s="30">
        <f t="shared" si="8"/>
        <v>0.2708884827</v>
      </c>
      <c r="J51" s="6"/>
      <c r="K51" s="5"/>
      <c r="L51" s="5"/>
      <c r="M51" s="5"/>
      <c r="N51" s="5"/>
      <c r="O51" s="6"/>
      <c r="P51" s="6"/>
      <c r="Q51" s="6"/>
      <c r="R51" s="6"/>
      <c r="S51" s="6"/>
      <c r="T51" s="6"/>
    </row>
    <row r="52" ht="15.75" customHeight="1">
      <c r="A52" s="57">
        <v>4.0</v>
      </c>
      <c r="B52" s="57" t="s">
        <v>142</v>
      </c>
      <c r="C52" s="58"/>
      <c r="D52" s="59"/>
      <c r="E52" s="23">
        <f t="shared" ref="E52:I52" si="9">SUM(E53:E67)</f>
        <v>3.25</v>
      </c>
      <c r="F52" s="23">
        <f t="shared" si="9"/>
        <v>5.45</v>
      </c>
      <c r="G52" s="23">
        <f t="shared" si="9"/>
        <v>3</v>
      </c>
      <c r="H52" s="23">
        <f t="shared" si="9"/>
        <v>4.146976237</v>
      </c>
      <c r="I52" s="23">
        <f t="shared" si="9"/>
        <v>15.84697624</v>
      </c>
      <c r="J52" s="6"/>
      <c r="K52" s="5"/>
      <c r="L52" s="5"/>
      <c r="M52" s="5"/>
      <c r="N52" s="5"/>
      <c r="O52" s="6"/>
      <c r="P52" s="6"/>
      <c r="Q52" s="6"/>
      <c r="R52" s="6"/>
      <c r="S52" s="6"/>
      <c r="T52" s="6"/>
    </row>
    <row r="53" ht="15.75" customHeight="1">
      <c r="A53" s="50"/>
      <c r="B53" s="50"/>
      <c r="C53" s="60" t="s">
        <v>143</v>
      </c>
      <c r="D53" s="36" t="s">
        <v>144</v>
      </c>
      <c r="E53" s="52">
        <v>0.25</v>
      </c>
      <c r="F53" s="52">
        <v>0.0</v>
      </c>
      <c r="G53" s="52">
        <v>0.0</v>
      </c>
      <c r="H53" s="30">
        <f t="shared" ref="H53:H67" si="10">SUM(E53:G53)*L$163</f>
        <v>0.08861060334</v>
      </c>
      <c r="I53" s="30">
        <f t="shared" ref="I53:I67" si="11">SUM(E53:H53)</f>
        <v>0.3386106033</v>
      </c>
      <c r="J53" s="6"/>
      <c r="K53" s="5"/>
      <c r="L53" s="5"/>
      <c r="M53" s="5"/>
      <c r="N53" s="5"/>
      <c r="O53" s="6"/>
      <c r="P53" s="6"/>
      <c r="Q53" s="6"/>
      <c r="R53" s="6"/>
      <c r="S53" s="6"/>
      <c r="T53" s="6"/>
    </row>
    <row r="54" ht="15.75" customHeight="1">
      <c r="A54" s="50"/>
      <c r="B54" s="50"/>
      <c r="C54" s="34"/>
      <c r="D54" s="61" t="s">
        <v>145</v>
      </c>
      <c r="E54" s="52">
        <v>0.0</v>
      </c>
      <c r="F54" s="52">
        <v>1.2</v>
      </c>
      <c r="G54" s="52">
        <v>0.0</v>
      </c>
      <c r="H54" s="30">
        <f t="shared" si="10"/>
        <v>0.4253308961</v>
      </c>
      <c r="I54" s="30">
        <f t="shared" si="11"/>
        <v>1.625330896</v>
      </c>
      <c r="J54" s="6"/>
      <c r="K54" s="5"/>
      <c r="L54" s="5"/>
      <c r="M54" s="5"/>
      <c r="N54" s="5"/>
      <c r="O54" s="6"/>
      <c r="P54" s="6"/>
      <c r="Q54" s="6"/>
      <c r="R54" s="6"/>
      <c r="S54" s="6"/>
      <c r="T54" s="6"/>
    </row>
    <row r="55" ht="15.75" customHeight="1">
      <c r="A55" s="50"/>
      <c r="B55" s="50"/>
      <c r="C55" s="15"/>
      <c r="D55" s="36" t="s">
        <v>146</v>
      </c>
      <c r="E55" s="52">
        <v>0.0</v>
      </c>
      <c r="F55" s="52">
        <v>0.0</v>
      </c>
      <c r="G55" s="52">
        <v>0.75</v>
      </c>
      <c r="H55" s="30">
        <f t="shared" si="10"/>
        <v>0.26583181</v>
      </c>
      <c r="I55" s="30">
        <f t="shared" si="11"/>
        <v>1.01583181</v>
      </c>
      <c r="J55" s="6"/>
      <c r="K55" s="5"/>
      <c r="L55" s="5"/>
      <c r="M55" s="5"/>
      <c r="N55" s="5"/>
      <c r="O55" s="6"/>
      <c r="P55" s="6"/>
      <c r="Q55" s="6"/>
      <c r="R55" s="6"/>
      <c r="S55" s="6"/>
      <c r="T55" s="6"/>
    </row>
    <row r="56" ht="15.75" customHeight="1">
      <c r="A56" s="50"/>
      <c r="B56" s="50"/>
      <c r="C56" s="51" t="s">
        <v>104</v>
      </c>
      <c r="D56" s="36" t="s">
        <v>105</v>
      </c>
      <c r="E56" s="52">
        <v>0.0</v>
      </c>
      <c r="F56" s="52">
        <v>1.0</v>
      </c>
      <c r="G56" s="52">
        <v>0.0</v>
      </c>
      <c r="H56" s="30">
        <f t="shared" si="10"/>
        <v>0.3544424134</v>
      </c>
      <c r="I56" s="30">
        <f t="shared" si="11"/>
        <v>1.354442413</v>
      </c>
      <c r="J56" s="6"/>
      <c r="K56" s="5"/>
      <c r="L56" s="5"/>
      <c r="M56" s="5"/>
      <c r="N56" s="5"/>
      <c r="O56" s="6"/>
      <c r="P56" s="6"/>
      <c r="Q56" s="6"/>
      <c r="R56" s="6"/>
      <c r="S56" s="6"/>
      <c r="T56" s="6"/>
    </row>
    <row r="57" ht="15.75" customHeight="1">
      <c r="A57" s="50"/>
      <c r="B57" s="50"/>
      <c r="C57" s="60" t="s">
        <v>123</v>
      </c>
      <c r="D57" s="36" t="s">
        <v>147</v>
      </c>
      <c r="E57" s="52">
        <v>1.0</v>
      </c>
      <c r="F57" s="52">
        <v>0.0</v>
      </c>
      <c r="G57" s="52">
        <v>0.0</v>
      </c>
      <c r="H57" s="30">
        <f t="shared" si="10"/>
        <v>0.3544424134</v>
      </c>
      <c r="I57" s="30">
        <f t="shared" si="11"/>
        <v>1.354442413</v>
      </c>
      <c r="J57" s="6"/>
      <c r="K57" s="5"/>
      <c r="L57" s="5"/>
      <c r="M57" s="5"/>
      <c r="N57" s="5"/>
      <c r="O57" s="6"/>
      <c r="P57" s="6"/>
      <c r="Q57" s="6"/>
      <c r="R57" s="6"/>
      <c r="S57" s="6"/>
      <c r="T57" s="6"/>
    </row>
    <row r="58" ht="15.75" customHeight="1">
      <c r="A58" s="50"/>
      <c r="B58" s="50"/>
      <c r="C58" s="34"/>
      <c r="D58" s="62" t="s">
        <v>148</v>
      </c>
      <c r="E58" s="52">
        <v>0.0</v>
      </c>
      <c r="F58" s="52">
        <v>0.6</v>
      </c>
      <c r="G58" s="52">
        <v>0.0</v>
      </c>
      <c r="H58" s="30">
        <f t="shared" si="10"/>
        <v>0.212665448</v>
      </c>
      <c r="I58" s="30">
        <f t="shared" si="11"/>
        <v>0.812665448</v>
      </c>
      <c r="J58" s="5"/>
      <c r="K58" s="5"/>
      <c r="L58" s="5"/>
      <c r="M58" s="5"/>
      <c r="N58" s="5"/>
      <c r="O58" s="6"/>
      <c r="P58" s="6"/>
      <c r="Q58" s="6"/>
      <c r="R58" s="6"/>
      <c r="S58" s="6"/>
      <c r="T58" s="6"/>
    </row>
    <row r="59" ht="15.75" customHeight="1">
      <c r="A59" s="50"/>
      <c r="B59" s="50"/>
      <c r="C59" s="34"/>
      <c r="D59" s="36" t="s">
        <v>149</v>
      </c>
      <c r="E59" s="52">
        <v>0.0</v>
      </c>
      <c r="F59" s="52">
        <v>0.6</v>
      </c>
      <c r="G59" s="52">
        <v>0.0</v>
      </c>
      <c r="H59" s="30">
        <f t="shared" si="10"/>
        <v>0.212665448</v>
      </c>
      <c r="I59" s="30">
        <f t="shared" si="11"/>
        <v>0.812665448</v>
      </c>
      <c r="J59" s="6"/>
      <c r="K59" s="5"/>
      <c r="L59" s="5"/>
      <c r="M59" s="5"/>
      <c r="N59" s="5"/>
      <c r="O59" s="6"/>
      <c r="P59" s="6"/>
      <c r="Q59" s="6"/>
      <c r="R59" s="6"/>
      <c r="S59" s="6"/>
      <c r="T59" s="6"/>
    </row>
    <row r="60" ht="15.75" customHeight="1">
      <c r="A60" s="50"/>
      <c r="B60" s="50"/>
      <c r="C60" s="15"/>
      <c r="D60" s="36" t="s">
        <v>150</v>
      </c>
      <c r="E60" s="52">
        <v>0.0</v>
      </c>
      <c r="F60" s="52">
        <v>0.0</v>
      </c>
      <c r="G60" s="52">
        <v>0.5</v>
      </c>
      <c r="H60" s="30">
        <f t="shared" si="10"/>
        <v>0.1772212067</v>
      </c>
      <c r="I60" s="30">
        <f t="shared" si="11"/>
        <v>0.6772212067</v>
      </c>
      <c r="J60" s="6"/>
      <c r="K60" s="5"/>
      <c r="L60" s="5"/>
      <c r="M60" s="5"/>
      <c r="N60" s="5"/>
      <c r="O60" s="6"/>
      <c r="P60" s="6"/>
      <c r="Q60" s="6"/>
      <c r="R60" s="6"/>
      <c r="S60" s="6"/>
      <c r="T60" s="6"/>
    </row>
    <row r="61" ht="15.75" customHeight="1">
      <c r="A61" s="50"/>
      <c r="B61" s="50"/>
      <c r="C61" s="60" t="s">
        <v>132</v>
      </c>
      <c r="D61" s="36" t="s">
        <v>151</v>
      </c>
      <c r="E61" s="52">
        <v>1.0</v>
      </c>
      <c r="F61" s="52">
        <v>0.0</v>
      </c>
      <c r="G61" s="52">
        <v>0.0</v>
      </c>
      <c r="H61" s="30">
        <f t="shared" si="10"/>
        <v>0.3544424134</v>
      </c>
      <c r="I61" s="30">
        <f t="shared" si="11"/>
        <v>1.354442413</v>
      </c>
      <c r="J61" s="6"/>
      <c r="K61" s="5"/>
      <c r="L61" s="5"/>
      <c r="M61" s="5"/>
      <c r="N61" s="5"/>
      <c r="O61" s="6"/>
      <c r="P61" s="6"/>
      <c r="Q61" s="6"/>
      <c r="R61" s="6"/>
      <c r="S61" s="6"/>
      <c r="T61" s="6"/>
    </row>
    <row r="62" ht="15.75" customHeight="1">
      <c r="A62" s="50"/>
      <c r="B62" s="50"/>
      <c r="C62" s="34"/>
      <c r="D62" s="61" t="s">
        <v>152</v>
      </c>
      <c r="E62" s="52">
        <v>0.0</v>
      </c>
      <c r="F62" s="52">
        <v>0.8</v>
      </c>
      <c r="G62" s="52">
        <v>0.0</v>
      </c>
      <c r="H62" s="30">
        <f t="shared" si="10"/>
        <v>0.2835539307</v>
      </c>
      <c r="I62" s="30">
        <f t="shared" si="11"/>
        <v>1.083553931</v>
      </c>
      <c r="J62" s="6"/>
      <c r="K62" s="5"/>
      <c r="L62" s="5"/>
      <c r="M62" s="5"/>
      <c r="N62" s="5"/>
      <c r="O62" s="6"/>
      <c r="P62" s="6"/>
      <c r="Q62" s="6"/>
      <c r="R62" s="6"/>
      <c r="S62" s="6"/>
      <c r="T62" s="6"/>
    </row>
    <row r="63" ht="15.75" customHeight="1">
      <c r="A63" s="50"/>
      <c r="B63" s="50"/>
      <c r="C63" s="15"/>
      <c r="D63" s="36" t="s">
        <v>153</v>
      </c>
      <c r="E63" s="52">
        <v>0.0</v>
      </c>
      <c r="F63" s="52">
        <v>0.0</v>
      </c>
      <c r="G63" s="52">
        <v>0.5</v>
      </c>
      <c r="H63" s="30">
        <f t="shared" si="10"/>
        <v>0.1772212067</v>
      </c>
      <c r="I63" s="30">
        <f t="shared" si="11"/>
        <v>0.6772212067</v>
      </c>
      <c r="J63" s="6"/>
      <c r="K63" s="5"/>
      <c r="L63" s="5"/>
      <c r="M63" s="5"/>
      <c r="N63" s="5"/>
      <c r="O63" s="6"/>
      <c r="P63" s="6"/>
      <c r="Q63" s="6"/>
      <c r="R63" s="6"/>
      <c r="S63" s="6"/>
      <c r="T63" s="6"/>
    </row>
    <row r="64" ht="15.75" customHeight="1">
      <c r="A64" s="50"/>
      <c r="B64" s="50"/>
      <c r="C64" s="60" t="s">
        <v>154</v>
      </c>
      <c r="D64" s="61" t="s">
        <v>155</v>
      </c>
      <c r="E64" s="52">
        <v>1.0</v>
      </c>
      <c r="F64" s="52">
        <v>0.0</v>
      </c>
      <c r="G64" s="52">
        <v>0.0</v>
      </c>
      <c r="H64" s="30">
        <f t="shared" si="10"/>
        <v>0.3544424134</v>
      </c>
      <c r="I64" s="30">
        <f t="shared" si="11"/>
        <v>1.354442413</v>
      </c>
      <c r="J64" s="6"/>
      <c r="K64" s="5"/>
      <c r="L64" s="5"/>
      <c r="M64" s="5"/>
      <c r="N64" s="5"/>
      <c r="O64" s="6"/>
      <c r="P64" s="6"/>
      <c r="Q64" s="6"/>
      <c r="R64" s="6"/>
      <c r="S64" s="6"/>
      <c r="T64" s="6"/>
    </row>
    <row r="65" ht="56.25" customHeight="1">
      <c r="A65" s="50"/>
      <c r="B65" s="50"/>
      <c r="C65" s="34"/>
      <c r="D65" s="61" t="s">
        <v>156</v>
      </c>
      <c r="E65" s="52">
        <v>0.0</v>
      </c>
      <c r="F65" s="52">
        <v>1.0</v>
      </c>
      <c r="G65" s="52">
        <v>0.0</v>
      </c>
      <c r="H65" s="30">
        <f t="shared" si="10"/>
        <v>0.3544424134</v>
      </c>
      <c r="I65" s="30">
        <f t="shared" si="11"/>
        <v>1.354442413</v>
      </c>
      <c r="J65" s="6"/>
      <c r="K65" s="5"/>
      <c r="L65" s="5"/>
      <c r="M65" s="5"/>
      <c r="N65" s="5"/>
      <c r="O65" s="6"/>
      <c r="P65" s="6"/>
      <c r="Q65" s="6"/>
      <c r="R65" s="6"/>
      <c r="S65" s="6"/>
      <c r="T65" s="6"/>
    </row>
    <row r="66" ht="15.75" customHeight="1">
      <c r="A66" s="50"/>
      <c r="B66" s="50"/>
      <c r="C66" s="34"/>
      <c r="D66" s="36" t="s">
        <v>157</v>
      </c>
      <c r="E66" s="52">
        <v>0.0</v>
      </c>
      <c r="F66" s="52">
        <v>0.0</v>
      </c>
      <c r="G66" s="52">
        <v>1.25</v>
      </c>
      <c r="H66" s="30">
        <f t="shared" si="10"/>
        <v>0.4430530167</v>
      </c>
      <c r="I66" s="30">
        <f t="shared" si="11"/>
        <v>1.693053017</v>
      </c>
      <c r="J66" s="6"/>
      <c r="K66" s="5"/>
      <c r="L66" s="5"/>
      <c r="M66" s="5"/>
      <c r="N66" s="5"/>
      <c r="O66" s="6"/>
      <c r="P66" s="6"/>
      <c r="Q66" s="6"/>
      <c r="R66" s="6"/>
      <c r="S66" s="6"/>
      <c r="T66" s="6"/>
    </row>
    <row r="67" ht="15.75" customHeight="1">
      <c r="A67" s="50"/>
      <c r="B67" s="50"/>
      <c r="C67" s="15"/>
      <c r="D67" s="36" t="s">
        <v>158</v>
      </c>
      <c r="E67" s="52">
        <v>0.0</v>
      </c>
      <c r="F67" s="52">
        <v>0.25</v>
      </c>
      <c r="G67" s="52">
        <v>0.0</v>
      </c>
      <c r="H67" s="30">
        <f t="shared" si="10"/>
        <v>0.08861060334</v>
      </c>
      <c r="I67" s="30">
        <f t="shared" si="11"/>
        <v>0.3386106033</v>
      </c>
      <c r="J67" s="6"/>
      <c r="K67" s="5"/>
      <c r="L67" s="5"/>
      <c r="M67" s="5"/>
      <c r="N67" s="5"/>
      <c r="O67" s="6"/>
      <c r="P67" s="6"/>
      <c r="Q67" s="6"/>
      <c r="R67" s="6"/>
      <c r="S67" s="6"/>
      <c r="T67" s="6"/>
    </row>
    <row r="68" ht="15.75" customHeight="1">
      <c r="A68" s="16" t="s">
        <v>125</v>
      </c>
      <c r="B68" s="18" t="s">
        <v>159</v>
      </c>
      <c r="C68" s="20"/>
      <c r="D68" s="22"/>
      <c r="E68" s="23">
        <f t="shared" ref="E68:I68" si="12">SUM(E69:E90)</f>
        <v>5</v>
      </c>
      <c r="F68" s="23">
        <f t="shared" si="12"/>
        <v>6.4</v>
      </c>
      <c r="G68" s="23">
        <f t="shared" si="12"/>
        <v>5.5</v>
      </c>
      <c r="H68" s="23">
        <f t="shared" si="12"/>
        <v>5.990076786</v>
      </c>
      <c r="I68" s="23">
        <f t="shared" si="12"/>
        <v>22.89007679</v>
      </c>
      <c r="J68" s="6"/>
      <c r="K68" s="5"/>
      <c r="L68" s="5"/>
      <c r="M68" s="5"/>
      <c r="N68" s="5"/>
      <c r="O68" s="6"/>
      <c r="P68" s="6"/>
      <c r="Q68" s="6"/>
      <c r="R68" s="6"/>
      <c r="S68" s="6"/>
      <c r="T68" s="6"/>
    </row>
    <row r="69" ht="15.75" customHeight="1">
      <c r="A69" s="24"/>
      <c r="B69" s="45"/>
      <c r="C69" s="46" t="s">
        <v>160</v>
      </c>
      <c r="D69" s="49" t="s">
        <v>161</v>
      </c>
      <c r="E69" s="47">
        <v>0.5</v>
      </c>
      <c r="F69" s="47">
        <v>0.0</v>
      </c>
      <c r="G69" s="47">
        <v>0.0</v>
      </c>
      <c r="H69" s="30">
        <f t="shared" ref="H69:H90" si="13">SUM(E69:G69)*L$163</f>
        <v>0.1772212067</v>
      </c>
      <c r="I69" s="30">
        <f t="shared" ref="I69:I90" si="14">SUM(E69:H69)</f>
        <v>0.6772212067</v>
      </c>
      <c r="J69" s="6"/>
      <c r="K69" s="5"/>
      <c r="L69" s="5"/>
      <c r="M69" s="5"/>
      <c r="N69" s="5"/>
      <c r="O69" s="6"/>
      <c r="P69" s="6"/>
      <c r="Q69" s="6"/>
      <c r="R69" s="6"/>
      <c r="S69" s="6"/>
      <c r="T69" s="6"/>
    </row>
    <row r="70" ht="15.75" customHeight="1">
      <c r="A70" s="24"/>
      <c r="B70" s="45"/>
      <c r="C70" s="15"/>
      <c r="D70" s="49" t="s">
        <v>162</v>
      </c>
      <c r="E70" s="47">
        <v>0.0</v>
      </c>
      <c r="F70" s="47">
        <v>0.3</v>
      </c>
      <c r="G70" s="47">
        <v>0.0</v>
      </c>
      <c r="H70" s="30">
        <f t="shared" si="13"/>
        <v>0.106332724</v>
      </c>
      <c r="I70" s="30">
        <f t="shared" si="14"/>
        <v>0.406332724</v>
      </c>
      <c r="J70" s="6"/>
      <c r="K70" s="5"/>
      <c r="L70" s="5"/>
      <c r="M70" s="5"/>
      <c r="N70" s="5"/>
      <c r="O70" s="6"/>
      <c r="P70" s="6"/>
      <c r="Q70" s="6"/>
      <c r="R70" s="6"/>
      <c r="S70" s="6"/>
      <c r="T70" s="6"/>
    </row>
    <row r="71" ht="15.75" customHeight="1">
      <c r="A71" s="24"/>
      <c r="B71" s="45"/>
      <c r="C71" s="46" t="s">
        <v>163</v>
      </c>
      <c r="D71" s="38" t="s">
        <v>164</v>
      </c>
      <c r="E71" s="47">
        <v>1.0</v>
      </c>
      <c r="F71" s="47">
        <v>0.0</v>
      </c>
      <c r="G71" s="47">
        <v>0.0</v>
      </c>
      <c r="H71" s="30">
        <f t="shared" si="13"/>
        <v>0.3544424134</v>
      </c>
      <c r="I71" s="30">
        <f t="shared" si="14"/>
        <v>1.354442413</v>
      </c>
      <c r="J71" s="6"/>
      <c r="K71" s="5"/>
      <c r="L71" s="5"/>
      <c r="M71" s="5"/>
      <c r="N71" s="5"/>
      <c r="O71" s="6"/>
      <c r="P71" s="6"/>
      <c r="Q71" s="6"/>
      <c r="R71" s="6"/>
      <c r="S71" s="6"/>
      <c r="T71" s="6"/>
    </row>
    <row r="72" ht="15.75" customHeight="1">
      <c r="A72" s="24"/>
      <c r="B72" s="45"/>
      <c r="C72" s="34"/>
      <c r="D72" s="38" t="s">
        <v>165</v>
      </c>
      <c r="E72" s="47">
        <v>0.0</v>
      </c>
      <c r="F72" s="47">
        <v>0.75</v>
      </c>
      <c r="G72" s="47">
        <v>0.0</v>
      </c>
      <c r="H72" s="30">
        <f t="shared" si="13"/>
        <v>0.26583181</v>
      </c>
      <c r="I72" s="30">
        <f t="shared" si="14"/>
        <v>1.01583181</v>
      </c>
      <c r="J72" s="6"/>
      <c r="K72" s="5"/>
      <c r="L72" s="5"/>
      <c r="M72" s="5"/>
      <c r="N72" s="5"/>
      <c r="O72" s="6"/>
      <c r="P72" s="6"/>
      <c r="Q72" s="6"/>
      <c r="R72" s="6"/>
      <c r="S72" s="6"/>
      <c r="T72" s="6"/>
    </row>
    <row r="73" ht="15.75" customHeight="1">
      <c r="A73" s="24"/>
      <c r="B73" s="45"/>
      <c r="C73" s="34"/>
      <c r="D73" s="38" t="s">
        <v>166</v>
      </c>
      <c r="E73" s="47">
        <v>0.0</v>
      </c>
      <c r="F73" s="47">
        <v>0.0</v>
      </c>
      <c r="G73" s="47">
        <v>0.75</v>
      </c>
      <c r="H73" s="30">
        <f t="shared" si="13"/>
        <v>0.26583181</v>
      </c>
      <c r="I73" s="30">
        <f t="shared" si="14"/>
        <v>1.01583181</v>
      </c>
      <c r="J73" s="6"/>
      <c r="K73" s="5"/>
      <c r="L73" s="5"/>
      <c r="M73" s="5"/>
      <c r="N73" s="5"/>
      <c r="O73" s="6"/>
      <c r="P73" s="6"/>
      <c r="Q73" s="6"/>
      <c r="R73" s="6"/>
      <c r="S73" s="6"/>
      <c r="T73" s="6"/>
    </row>
    <row r="74" ht="15.75" customHeight="1">
      <c r="A74" s="24"/>
      <c r="B74" s="45"/>
      <c r="C74" s="34"/>
      <c r="D74" s="38" t="s">
        <v>167</v>
      </c>
      <c r="E74" s="47">
        <v>0.0</v>
      </c>
      <c r="F74" s="47">
        <v>0.75</v>
      </c>
      <c r="G74" s="47">
        <v>0.0</v>
      </c>
      <c r="H74" s="30">
        <f t="shared" si="13"/>
        <v>0.26583181</v>
      </c>
      <c r="I74" s="30">
        <f t="shared" si="14"/>
        <v>1.01583181</v>
      </c>
      <c r="J74" s="6"/>
      <c r="K74" s="5"/>
      <c r="L74" s="5"/>
      <c r="M74" s="5"/>
      <c r="N74" s="5"/>
      <c r="O74" s="6"/>
      <c r="P74" s="6"/>
      <c r="Q74" s="6"/>
      <c r="R74" s="6"/>
      <c r="S74" s="6"/>
      <c r="T74" s="6"/>
    </row>
    <row r="75" ht="15.75" customHeight="1">
      <c r="A75" s="24"/>
      <c r="B75" s="45"/>
      <c r="C75" s="34"/>
      <c r="D75" s="38" t="s">
        <v>168</v>
      </c>
      <c r="E75" s="47">
        <v>0.0</v>
      </c>
      <c r="F75" s="47">
        <v>0.0</v>
      </c>
      <c r="G75" s="47">
        <v>0.4</v>
      </c>
      <c r="H75" s="30">
        <f t="shared" si="13"/>
        <v>0.1417769654</v>
      </c>
      <c r="I75" s="30">
        <f t="shared" si="14"/>
        <v>0.5417769654</v>
      </c>
      <c r="J75" s="6"/>
      <c r="K75" s="5"/>
      <c r="L75" s="5"/>
      <c r="M75" s="5"/>
      <c r="N75" s="5"/>
      <c r="O75" s="6"/>
      <c r="P75" s="6"/>
      <c r="Q75" s="6"/>
      <c r="R75" s="6"/>
      <c r="S75" s="6"/>
      <c r="T75" s="6"/>
    </row>
    <row r="76" ht="15.75" customHeight="1">
      <c r="A76" s="24"/>
      <c r="B76" s="45"/>
      <c r="C76" s="15"/>
      <c r="D76" s="38" t="s">
        <v>169</v>
      </c>
      <c r="E76" s="47">
        <v>0.0</v>
      </c>
      <c r="F76" s="47">
        <v>0.75</v>
      </c>
      <c r="G76" s="47">
        <v>0.0</v>
      </c>
      <c r="H76" s="30">
        <f t="shared" si="13"/>
        <v>0.26583181</v>
      </c>
      <c r="I76" s="30">
        <f t="shared" si="14"/>
        <v>1.01583181</v>
      </c>
      <c r="J76" s="6"/>
      <c r="K76" s="5"/>
      <c r="L76" s="5"/>
      <c r="M76" s="5"/>
      <c r="N76" s="5"/>
      <c r="O76" s="6"/>
      <c r="P76" s="6"/>
      <c r="Q76" s="6"/>
      <c r="R76" s="6"/>
      <c r="S76" s="6"/>
      <c r="T76" s="6"/>
    </row>
    <row r="77" ht="15.75" customHeight="1">
      <c r="A77" s="24"/>
      <c r="B77" s="45"/>
      <c r="C77" s="54" t="s">
        <v>170</v>
      </c>
      <c r="D77" s="38" t="s">
        <v>171</v>
      </c>
      <c r="E77" s="47">
        <v>1.5</v>
      </c>
      <c r="F77" s="47">
        <v>0.0</v>
      </c>
      <c r="G77" s="47">
        <v>0.0</v>
      </c>
      <c r="H77" s="30">
        <f t="shared" si="13"/>
        <v>0.5316636201</v>
      </c>
      <c r="I77" s="30">
        <f t="shared" si="14"/>
        <v>2.03166362</v>
      </c>
      <c r="J77" s="6"/>
      <c r="K77" s="5"/>
      <c r="L77" s="5"/>
      <c r="M77" s="5"/>
      <c r="N77" s="5"/>
      <c r="O77" s="6"/>
      <c r="P77" s="6"/>
      <c r="Q77" s="6"/>
      <c r="R77" s="6"/>
      <c r="S77" s="6"/>
      <c r="T77" s="6"/>
    </row>
    <row r="78" ht="15.75" customHeight="1">
      <c r="A78" s="24"/>
      <c r="B78" s="45"/>
      <c r="C78" s="34"/>
      <c r="D78" s="38" t="s">
        <v>172</v>
      </c>
      <c r="E78" s="47">
        <v>0.0</v>
      </c>
      <c r="F78" s="47">
        <v>1.0</v>
      </c>
      <c r="G78" s="47">
        <v>0.0</v>
      </c>
      <c r="H78" s="30">
        <f t="shared" si="13"/>
        <v>0.3544424134</v>
      </c>
      <c r="I78" s="30">
        <f t="shared" si="14"/>
        <v>1.354442413</v>
      </c>
      <c r="J78" s="6"/>
      <c r="K78" s="5"/>
      <c r="L78" s="5"/>
      <c r="M78" s="5"/>
      <c r="N78" s="5"/>
      <c r="O78" s="6"/>
      <c r="P78" s="6"/>
      <c r="Q78" s="6"/>
      <c r="R78" s="6"/>
      <c r="S78" s="6"/>
      <c r="T78" s="6"/>
    </row>
    <row r="79" ht="15.75" customHeight="1">
      <c r="A79" s="24"/>
      <c r="B79" s="45"/>
      <c r="C79" s="34"/>
      <c r="D79" s="38" t="s">
        <v>173</v>
      </c>
      <c r="E79" s="47">
        <v>0.0</v>
      </c>
      <c r="F79" s="47">
        <v>0.0</v>
      </c>
      <c r="G79" s="47">
        <v>1.25</v>
      </c>
      <c r="H79" s="30">
        <f t="shared" si="13"/>
        <v>0.4430530167</v>
      </c>
      <c r="I79" s="30">
        <f t="shared" si="14"/>
        <v>1.693053017</v>
      </c>
      <c r="J79" s="6"/>
      <c r="K79" s="5"/>
      <c r="L79" s="5"/>
      <c r="M79" s="5"/>
      <c r="N79" s="5"/>
      <c r="O79" s="6"/>
      <c r="P79" s="6"/>
      <c r="Q79" s="6"/>
      <c r="R79" s="6"/>
      <c r="S79" s="6"/>
      <c r="T79" s="6"/>
    </row>
    <row r="80" ht="15.75" customHeight="1">
      <c r="A80" s="24"/>
      <c r="B80" s="45"/>
      <c r="C80" s="34"/>
      <c r="D80" s="38" t="s">
        <v>175</v>
      </c>
      <c r="E80" s="47">
        <v>0.0</v>
      </c>
      <c r="F80" s="47">
        <v>0.0</v>
      </c>
      <c r="G80" s="47">
        <v>0.4</v>
      </c>
      <c r="H80" s="30">
        <f t="shared" si="13"/>
        <v>0.1417769654</v>
      </c>
      <c r="I80" s="30">
        <f t="shared" si="14"/>
        <v>0.5417769654</v>
      </c>
      <c r="J80" s="6"/>
      <c r="K80" s="5"/>
      <c r="L80" s="5"/>
      <c r="M80" s="5"/>
      <c r="N80" s="5"/>
      <c r="O80" s="6"/>
      <c r="P80" s="6"/>
      <c r="Q80" s="6"/>
      <c r="R80" s="6"/>
      <c r="S80" s="6"/>
      <c r="T80" s="6"/>
    </row>
    <row r="81" ht="15.75" customHeight="1">
      <c r="A81" s="24"/>
      <c r="B81" s="45"/>
      <c r="C81" s="34"/>
      <c r="D81" s="38" t="s">
        <v>176</v>
      </c>
      <c r="E81" s="47">
        <v>1.0</v>
      </c>
      <c r="F81" s="47">
        <v>0.0</v>
      </c>
      <c r="G81" s="47">
        <v>0.0</v>
      </c>
      <c r="H81" s="30">
        <f t="shared" si="13"/>
        <v>0.3544424134</v>
      </c>
      <c r="I81" s="30">
        <f t="shared" si="14"/>
        <v>1.354442413</v>
      </c>
      <c r="J81" s="5"/>
      <c r="K81" s="5"/>
      <c r="L81" s="5"/>
      <c r="M81" s="5"/>
      <c r="N81" s="5"/>
      <c r="O81" s="6"/>
      <c r="P81" s="6"/>
      <c r="Q81" s="6"/>
      <c r="R81" s="6"/>
      <c r="S81" s="6"/>
      <c r="T81" s="6"/>
    </row>
    <row r="82" ht="24.0" customHeight="1">
      <c r="A82" s="24"/>
      <c r="B82" s="45"/>
      <c r="C82" s="34"/>
      <c r="D82" s="38" t="s">
        <v>177</v>
      </c>
      <c r="E82" s="47">
        <v>0.0</v>
      </c>
      <c r="F82" s="47">
        <v>0.75</v>
      </c>
      <c r="G82" s="47">
        <v>0.0</v>
      </c>
      <c r="H82" s="30">
        <f t="shared" si="13"/>
        <v>0.26583181</v>
      </c>
      <c r="I82" s="30">
        <f t="shared" si="14"/>
        <v>1.01583181</v>
      </c>
      <c r="J82" s="6"/>
      <c r="K82" s="5"/>
      <c r="L82" s="5"/>
      <c r="M82" s="5"/>
      <c r="N82" s="5"/>
      <c r="O82" s="6"/>
      <c r="P82" s="6"/>
      <c r="Q82" s="6"/>
      <c r="R82" s="6"/>
      <c r="S82" s="6"/>
      <c r="T82" s="6"/>
    </row>
    <row r="83" ht="12.75" customHeight="1">
      <c r="A83" s="24"/>
      <c r="B83" s="45"/>
      <c r="C83" s="34"/>
      <c r="D83" s="38" t="s">
        <v>178</v>
      </c>
      <c r="E83" s="47">
        <v>0.0</v>
      </c>
      <c r="F83" s="47">
        <v>0.0</v>
      </c>
      <c r="G83" s="47">
        <v>1.25</v>
      </c>
      <c r="H83" s="30">
        <f t="shared" si="13"/>
        <v>0.4430530167</v>
      </c>
      <c r="I83" s="30">
        <f t="shared" si="14"/>
        <v>1.693053017</v>
      </c>
      <c r="J83" s="6"/>
      <c r="K83" s="5"/>
      <c r="L83" s="5"/>
      <c r="M83" s="5"/>
      <c r="N83" s="5"/>
      <c r="O83" s="6"/>
      <c r="P83" s="6"/>
      <c r="Q83" s="6"/>
      <c r="R83" s="6"/>
      <c r="S83" s="6"/>
      <c r="T83" s="6"/>
    </row>
    <row r="84" ht="15.75" customHeight="1">
      <c r="A84" s="24"/>
      <c r="B84" s="45"/>
      <c r="C84" s="34"/>
      <c r="D84" s="38" t="s">
        <v>180</v>
      </c>
      <c r="E84" s="47">
        <v>0.0</v>
      </c>
      <c r="F84" s="47">
        <v>0.0</v>
      </c>
      <c r="G84" s="47">
        <v>0.4</v>
      </c>
      <c r="H84" s="30">
        <f t="shared" si="13"/>
        <v>0.1417769654</v>
      </c>
      <c r="I84" s="30">
        <f t="shared" si="14"/>
        <v>0.5417769654</v>
      </c>
      <c r="J84" s="6"/>
      <c r="K84" s="5"/>
      <c r="L84" s="5"/>
      <c r="M84" s="5"/>
      <c r="N84" s="5"/>
      <c r="O84" s="6"/>
      <c r="P84" s="6"/>
      <c r="Q84" s="6"/>
      <c r="R84" s="6"/>
      <c r="S84" s="6"/>
      <c r="T84" s="6"/>
    </row>
    <row r="85" ht="15.75" customHeight="1">
      <c r="A85" s="24"/>
      <c r="B85" s="45"/>
      <c r="C85" s="15"/>
      <c r="D85" s="38" t="s">
        <v>182</v>
      </c>
      <c r="E85" s="47">
        <v>0.0</v>
      </c>
      <c r="F85" s="47">
        <v>0.75</v>
      </c>
      <c r="G85" s="47">
        <v>0.0</v>
      </c>
      <c r="H85" s="30">
        <f t="shared" si="13"/>
        <v>0.26583181</v>
      </c>
      <c r="I85" s="30">
        <f t="shared" si="14"/>
        <v>1.01583181</v>
      </c>
      <c r="J85" s="6"/>
      <c r="K85" s="5"/>
      <c r="L85" s="5"/>
      <c r="M85" s="5"/>
      <c r="N85" s="5"/>
      <c r="O85" s="6"/>
      <c r="P85" s="6"/>
      <c r="Q85" s="6"/>
      <c r="R85" s="6"/>
      <c r="S85" s="6"/>
      <c r="T85" s="6"/>
    </row>
    <row r="86" ht="15.75" customHeight="1">
      <c r="A86" s="24"/>
      <c r="B86" s="45"/>
      <c r="C86" s="54" t="s">
        <v>185</v>
      </c>
      <c r="D86" s="42" t="s">
        <v>187</v>
      </c>
      <c r="E86" s="47">
        <v>1.0</v>
      </c>
      <c r="F86" s="47">
        <v>0.0</v>
      </c>
      <c r="G86" s="47">
        <v>0.0</v>
      </c>
      <c r="H86" s="30">
        <f t="shared" si="13"/>
        <v>0.3544424134</v>
      </c>
      <c r="I86" s="30">
        <f t="shared" si="14"/>
        <v>1.354442413</v>
      </c>
      <c r="J86" s="6"/>
      <c r="K86" s="5"/>
      <c r="L86" s="5"/>
      <c r="M86" s="5"/>
      <c r="N86" s="5"/>
      <c r="O86" s="6"/>
      <c r="P86" s="6"/>
      <c r="Q86" s="6"/>
      <c r="R86" s="6"/>
      <c r="S86" s="6"/>
      <c r="T86" s="6"/>
    </row>
    <row r="87" ht="15.75" customHeight="1">
      <c r="A87" s="24"/>
      <c r="B87" s="45"/>
      <c r="C87" s="34"/>
      <c r="D87" s="38" t="s">
        <v>188</v>
      </c>
      <c r="E87" s="47">
        <v>0.0</v>
      </c>
      <c r="F87" s="47">
        <v>0.6</v>
      </c>
      <c r="G87" s="47">
        <v>0.0</v>
      </c>
      <c r="H87" s="30">
        <f t="shared" si="13"/>
        <v>0.212665448</v>
      </c>
      <c r="I87" s="30">
        <f t="shared" si="14"/>
        <v>0.812665448</v>
      </c>
      <c r="J87" s="6"/>
      <c r="K87" s="5"/>
      <c r="L87" s="5"/>
      <c r="M87" s="5"/>
      <c r="N87" s="5"/>
      <c r="O87" s="6"/>
      <c r="P87" s="6"/>
      <c r="Q87" s="6"/>
      <c r="R87" s="6"/>
      <c r="S87" s="6"/>
      <c r="T87" s="6"/>
    </row>
    <row r="88" ht="15.75" customHeight="1">
      <c r="A88" s="24"/>
      <c r="B88" s="45"/>
      <c r="C88" s="34"/>
      <c r="D88" s="38" t="s">
        <v>189</v>
      </c>
      <c r="E88" s="47">
        <v>0.0</v>
      </c>
      <c r="F88" s="47">
        <v>0.0</v>
      </c>
      <c r="G88" s="47">
        <v>0.75</v>
      </c>
      <c r="H88" s="30">
        <f t="shared" si="13"/>
        <v>0.26583181</v>
      </c>
      <c r="I88" s="30">
        <f t="shared" si="14"/>
        <v>1.01583181</v>
      </c>
      <c r="J88" s="6"/>
      <c r="K88" s="5"/>
      <c r="L88" s="5"/>
      <c r="M88" s="5"/>
      <c r="N88" s="5"/>
      <c r="O88" s="6"/>
      <c r="P88" s="6"/>
      <c r="Q88" s="6"/>
      <c r="R88" s="6"/>
      <c r="S88" s="6"/>
      <c r="T88" s="6"/>
    </row>
    <row r="89" ht="15.75" customHeight="1">
      <c r="A89" s="24"/>
      <c r="B89" s="45"/>
      <c r="C89" s="34"/>
      <c r="D89" s="38" t="s">
        <v>190</v>
      </c>
      <c r="E89" s="47">
        <v>0.0</v>
      </c>
      <c r="F89" s="47">
        <v>0.5</v>
      </c>
      <c r="G89" s="47">
        <v>0.0</v>
      </c>
      <c r="H89" s="30">
        <f t="shared" si="13"/>
        <v>0.1772212067</v>
      </c>
      <c r="I89" s="30">
        <f t="shared" si="14"/>
        <v>0.6772212067</v>
      </c>
      <c r="J89" s="6"/>
      <c r="K89" s="5"/>
      <c r="L89" s="5"/>
      <c r="M89" s="5"/>
      <c r="N89" s="5"/>
      <c r="O89" s="6"/>
      <c r="P89" s="6"/>
      <c r="Q89" s="6"/>
      <c r="R89" s="6"/>
      <c r="S89" s="6"/>
      <c r="T89" s="6"/>
    </row>
    <row r="90" ht="15.75" customHeight="1">
      <c r="A90" s="24"/>
      <c r="B90" s="45"/>
      <c r="C90" s="15"/>
      <c r="D90" s="38" t="s">
        <v>193</v>
      </c>
      <c r="E90" s="47">
        <v>0.0</v>
      </c>
      <c r="F90" s="47">
        <v>0.25</v>
      </c>
      <c r="G90" s="47">
        <v>0.3</v>
      </c>
      <c r="H90" s="30">
        <f t="shared" si="13"/>
        <v>0.1949433274</v>
      </c>
      <c r="I90" s="30">
        <f t="shared" si="14"/>
        <v>0.7449433274</v>
      </c>
      <c r="J90" s="6"/>
      <c r="K90" s="5"/>
      <c r="L90" s="5"/>
      <c r="M90" s="5"/>
      <c r="N90" s="5"/>
      <c r="O90" s="6"/>
      <c r="P90" s="6"/>
      <c r="Q90" s="6"/>
      <c r="R90" s="6"/>
      <c r="S90" s="6"/>
      <c r="T90" s="6"/>
    </row>
    <row r="91" ht="15.75" customHeight="1">
      <c r="A91" s="16" t="s">
        <v>194</v>
      </c>
      <c r="B91" s="18" t="s">
        <v>195</v>
      </c>
      <c r="C91" s="20"/>
      <c r="D91" s="22"/>
      <c r="E91" s="23">
        <f t="shared" ref="E91:I91" si="15">SUM(E92:E102)</f>
        <v>3</v>
      </c>
      <c r="F91" s="23">
        <f t="shared" si="15"/>
        <v>6.5</v>
      </c>
      <c r="G91" s="23">
        <f t="shared" si="15"/>
        <v>1.95</v>
      </c>
      <c r="H91" s="23">
        <f t="shared" si="15"/>
        <v>4.058365633</v>
      </c>
      <c r="I91" s="23">
        <f t="shared" si="15"/>
        <v>15.50836563</v>
      </c>
      <c r="J91" s="6"/>
      <c r="K91" s="5"/>
      <c r="L91" s="5"/>
      <c r="M91" s="5"/>
      <c r="N91" s="5"/>
      <c r="O91" s="6"/>
      <c r="P91" s="6"/>
      <c r="Q91" s="6"/>
      <c r="R91" s="6"/>
      <c r="S91" s="6"/>
      <c r="T91" s="6"/>
    </row>
    <row r="92" ht="15.75" customHeight="1">
      <c r="A92" s="24"/>
      <c r="B92" s="45"/>
      <c r="C92" s="54" t="s">
        <v>197</v>
      </c>
      <c r="D92" s="38" t="s">
        <v>198</v>
      </c>
      <c r="E92" s="47">
        <v>1.0</v>
      </c>
      <c r="F92" s="47">
        <v>0.0</v>
      </c>
      <c r="G92" s="47">
        <v>0.0</v>
      </c>
      <c r="H92" s="30">
        <f t="shared" ref="H92:H102" si="16">SUM(E92:G92)*L$163</f>
        <v>0.3544424134</v>
      </c>
      <c r="I92" s="30">
        <f t="shared" ref="I92:I102" si="17">SUM(E92:H92)</f>
        <v>1.354442413</v>
      </c>
      <c r="J92" s="6"/>
      <c r="K92" s="5"/>
      <c r="L92" s="5"/>
      <c r="M92" s="5"/>
      <c r="N92" s="5"/>
      <c r="O92" s="6"/>
      <c r="P92" s="6"/>
      <c r="Q92" s="6"/>
      <c r="R92" s="6"/>
      <c r="S92" s="6"/>
      <c r="T92" s="6"/>
    </row>
    <row r="93" ht="15.75" customHeight="1">
      <c r="A93" s="24"/>
      <c r="B93" s="45"/>
      <c r="C93" s="34"/>
      <c r="D93" s="38" t="s">
        <v>201</v>
      </c>
      <c r="E93" s="47">
        <v>0.0</v>
      </c>
      <c r="F93" s="47">
        <v>1.25</v>
      </c>
      <c r="G93" s="47">
        <v>0.0</v>
      </c>
      <c r="H93" s="30">
        <f t="shared" si="16"/>
        <v>0.4430530167</v>
      </c>
      <c r="I93" s="30">
        <f t="shared" si="17"/>
        <v>1.693053017</v>
      </c>
      <c r="J93" s="5"/>
      <c r="K93" s="5"/>
      <c r="L93" s="5"/>
      <c r="M93" s="5"/>
      <c r="N93" s="5"/>
      <c r="O93" s="6"/>
      <c r="P93" s="6"/>
      <c r="Q93" s="6"/>
      <c r="R93" s="6"/>
      <c r="S93" s="6"/>
      <c r="T93" s="6"/>
    </row>
    <row r="94" ht="15.75" customHeight="1">
      <c r="A94" s="24"/>
      <c r="B94" s="45"/>
      <c r="C94" s="34"/>
      <c r="D94" s="42" t="s">
        <v>203</v>
      </c>
      <c r="E94" s="47">
        <v>0.0</v>
      </c>
      <c r="F94" s="47">
        <v>0.0</v>
      </c>
      <c r="G94" s="47">
        <v>0.5</v>
      </c>
      <c r="H94" s="30">
        <f t="shared" si="16"/>
        <v>0.1772212067</v>
      </c>
      <c r="I94" s="30">
        <f t="shared" si="17"/>
        <v>0.6772212067</v>
      </c>
      <c r="J94" s="6"/>
      <c r="K94" s="5"/>
      <c r="L94" s="5"/>
      <c r="M94" s="5"/>
      <c r="N94" s="5"/>
      <c r="O94" s="6"/>
      <c r="P94" s="6"/>
      <c r="Q94" s="6"/>
      <c r="R94" s="6"/>
      <c r="S94" s="6"/>
      <c r="T94" s="6"/>
      <c r="U94" s="63"/>
      <c r="V94" s="63"/>
      <c r="W94" s="63"/>
      <c r="X94" s="63"/>
      <c r="Y94" s="63"/>
      <c r="Z94" s="63"/>
    </row>
    <row r="95" ht="15.75" customHeight="1">
      <c r="A95" s="24"/>
      <c r="B95" s="45"/>
      <c r="C95" s="34"/>
      <c r="D95" s="38" t="s">
        <v>207</v>
      </c>
      <c r="E95" s="47">
        <v>0.0</v>
      </c>
      <c r="F95" s="47">
        <v>0.0</v>
      </c>
      <c r="G95" s="47">
        <v>0.4</v>
      </c>
      <c r="H95" s="30">
        <f t="shared" si="16"/>
        <v>0.1417769654</v>
      </c>
      <c r="I95" s="30">
        <f t="shared" si="17"/>
        <v>0.5417769654</v>
      </c>
      <c r="J95" s="6"/>
      <c r="K95" s="5"/>
      <c r="L95" s="5"/>
      <c r="M95" s="5"/>
      <c r="N95" s="5"/>
      <c r="O95" s="6"/>
      <c r="P95" s="6"/>
      <c r="Q95" s="6"/>
      <c r="R95" s="6"/>
      <c r="S95" s="6"/>
      <c r="T95" s="6"/>
      <c r="U95" s="63"/>
      <c r="V95" s="63"/>
      <c r="W95" s="63"/>
      <c r="X95" s="63"/>
      <c r="Y95" s="63"/>
      <c r="Z95" s="63"/>
    </row>
    <row r="96" ht="15.75" customHeight="1">
      <c r="A96" s="24"/>
      <c r="B96" s="45"/>
      <c r="C96" s="34"/>
      <c r="D96" s="38" t="s">
        <v>209</v>
      </c>
      <c r="E96" s="47">
        <v>2.0</v>
      </c>
      <c r="F96" s="47">
        <v>0.0</v>
      </c>
      <c r="G96" s="47">
        <v>0.0</v>
      </c>
      <c r="H96" s="30">
        <f t="shared" si="16"/>
        <v>0.7088848268</v>
      </c>
      <c r="I96" s="30">
        <f t="shared" si="17"/>
        <v>2.708884827</v>
      </c>
      <c r="J96" s="6"/>
      <c r="K96" s="5"/>
      <c r="L96" s="5"/>
      <c r="M96" s="5"/>
      <c r="N96" s="5"/>
      <c r="O96" s="6"/>
      <c r="P96" s="6"/>
      <c r="Q96" s="6"/>
      <c r="R96" s="6"/>
      <c r="S96" s="6"/>
      <c r="T96" s="6"/>
      <c r="U96" s="63"/>
      <c r="V96" s="63"/>
      <c r="W96" s="63"/>
      <c r="X96" s="63"/>
      <c r="Y96" s="63"/>
      <c r="Z96" s="63"/>
    </row>
    <row r="97" ht="15.75" customHeight="1">
      <c r="A97" s="24"/>
      <c r="B97" s="45"/>
      <c r="C97" s="34"/>
      <c r="D97" s="38" t="s">
        <v>211</v>
      </c>
      <c r="E97" s="47">
        <v>0.0</v>
      </c>
      <c r="F97" s="47">
        <v>1.5</v>
      </c>
      <c r="G97" s="47">
        <v>0.0</v>
      </c>
      <c r="H97" s="30">
        <f t="shared" si="16"/>
        <v>0.5316636201</v>
      </c>
      <c r="I97" s="30">
        <f t="shared" si="17"/>
        <v>2.03166362</v>
      </c>
      <c r="J97" s="6"/>
      <c r="K97" s="5"/>
      <c r="L97" s="5"/>
      <c r="M97" s="5"/>
      <c r="N97" s="5"/>
      <c r="O97" s="6"/>
      <c r="P97" s="6"/>
      <c r="Q97" s="6"/>
      <c r="R97" s="6"/>
      <c r="S97" s="6"/>
      <c r="T97" s="6"/>
    </row>
    <row r="98" ht="12.75" customHeight="1">
      <c r="A98" s="24"/>
      <c r="B98" s="45"/>
      <c r="C98" s="34"/>
      <c r="D98" s="38" t="s">
        <v>213</v>
      </c>
      <c r="E98" s="47">
        <v>0.0</v>
      </c>
      <c r="F98" s="47">
        <v>1.25</v>
      </c>
      <c r="G98" s="47">
        <v>0.0</v>
      </c>
      <c r="H98" s="30">
        <f t="shared" si="16"/>
        <v>0.4430530167</v>
      </c>
      <c r="I98" s="30">
        <f t="shared" si="17"/>
        <v>1.693053017</v>
      </c>
      <c r="J98" s="6"/>
      <c r="K98" s="5"/>
      <c r="L98" s="5"/>
      <c r="M98" s="5"/>
      <c r="N98" s="5"/>
      <c r="O98" s="6"/>
      <c r="P98" s="6"/>
      <c r="Q98" s="6"/>
      <c r="R98" s="6"/>
      <c r="S98" s="6"/>
      <c r="T98" s="6"/>
    </row>
    <row r="99" ht="15.75" customHeight="1">
      <c r="A99" s="24"/>
      <c r="B99" s="45"/>
      <c r="C99" s="34"/>
      <c r="D99" s="38" t="s">
        <v>216</v>
      </c>
      <c r="E99" s="47">
        <v>0.0</v>
      </c>
      <c r="F99" s="47">
        <v>0.0</v>
      </c>
      <c r="G99" s="47">
        <v>0.6</v>
      </c>
      <c r="H99" s="30">
        <f t="shared" si="16"/>
        <v>0.212665448</v>
      </c>
      <c r="I99" s="30">
        <f t="shared" si="17"/>
        <v>0.812665448</v>
      </c>
      <c r="J99" s="6"/>
      <c r="K99" s="5"/>
      <c r="L99" s="5"/>
      <c r="M99" s="5"/>
      <c r="N99" s="5"/>
      <c r="O99" s="6"/>
      <c r="P99" s="6"/>
      <c r="Q99" s="6"/>
      <c r="R99" s="6"/>
      <c r="S99" s="6"/>
      <c r="T99" s="6"/>
    </row>
    <row r="100" ht="15.75" customHeight="1">
      <c r="A100" s="24"/>
      <c r="B100" s="45"/>
      <c r="C100" s="34"/>
      <c r="D100" s="38" t="s">
        <v>218</v>
      </c>
      <c r="E100" s="47">
        <v>0.0</v>
      </c>
      <c r="F100" s="47">
        <v>0.0</v>
      </c>
      <c r="G100" s="47">
        <v>0.45</v>
      </c>
      <c r="H100" s="30">
        <f t="shared" si="16"/>
        <v>0.159499086</v>
      </c>
      <c r="I100" s="30">
        <f t="shared" si="17"/>
        <v>0.609499086</v>
      </c>
      <c r="J100" s="6"/>
      <c r="K100" s="5"/>
      <c r="L100" s="5"/>
      <c r="M100" s="5"/>
      <c r="N100" s="5"/>
      <c r="O100" s="6"/>
      <c r="P100" s="6"/>
      <c r="Q100" s="6"/>
      <c r="R100" s="6"/>
      <c r="S100" s="6"/>
      <c r="T100" s="6"/>
    </row>
    <row r="101" ht="15.75" customHeight="1">
      <c r="A101" s="24"/>
      <c r="B101" s="45"/>
      <c r="C101" s="34"/>
      <c r="D101" s="38" t="s">
        <v>221</v>
      </c>
      <c r="E101" s="47">
        <v>0.0</v>
      </c>
      <c r="F101" s="47">
        <v>1.5</v>
      </c>
      <c r="G101" s="47">
        <v>0.0</v>
      </c>
      <c r="H101" s="30">
        <f t="shared" si="16"/>
        <v>0.5316636201</v>
      </c>
      <c r="I101" s="30">
        <f t="shared" si="17"/>
        <v>2.03166362</v>
      </c>
      <c r="J101" s="6"/>
      <c r="K101" s="5"/>
      <c r="L101" s="5"/>
      <c r="M101" s="5"/>
      <c r="N101" s="5"/>
      <c r="O101" s="6"/>
      <c r="P101" s="6"/>
      <c r="Q101" s="6"/>
      <c r="R101" s="6"/>
      <c r="S101" s="6"/>
      <c r="T101" s="6"/>
    </row>
    <row r="102" ht="15.75" customHeight="1">
      <c r="A102" s="24"/>
      <c r="B102" s="45"/>
      <c r="C102" s="15"/>
      <c r="D102" s="38" t="s">
        <v>224</v>
      </c>
      <c r="E102" s="47">
        <v>0.0</v>
      </c>
      <c r="F102" s="47">
        <v>1.0</v>
      </c>
      <c r="G102" s="47">
        <v>0.0</v>
      </c>
      <c r="H102" s="30">
        <f t="shared" si="16"/>
        <v>0.3544424134</v>
      </c>
      <c r="I102" s="30">
        <f t="shared" si="17"/>
        <v>1.354442413</v>
      </c>
      <c r="J102" s="6"/>
      <c r="K102" s="5"/>
      <c r="L102" s="5"/>
      <c r="M102" s="5"/>
      <c r="N102" s="5"/>
      <c r="O102" s="6"/>
      <c r="P102" s="6"/>
      <c r="Q102" s="6"/>
      <c r="R102" s="6"/>
      <c r="S102" s="6"/>
      <c r="T102" s="6"/>
    </row>
    <row r="103" ht="15.75" customHeight="1">
      <c r="A103" s="16" t="s">
        <v>222</v>
      </c>
      <c r="B103" s="18" t="s">
        <v>225</v>
      </c>
      <c r="C103" s="20"/>
      <c r="D103" s="22"/>
      <c r="E103" s="23">
        <f t="shared" ref="E103:I103" si="18">SUM(E104:E121)</f>
        <v>0.6</v>
      </c>
      <c r="F103" s="23">
        <f t="shared" si="18"/>
        <v>9.75</v>
      </c>
      <c r="G103" s="23">
        <f t="shared" si="18"/>
        <v>5.25</v>
      </c>
      <c r="H103" s="23">
        <f t="shared" si="18"/>
        <v>5.529301649</v>
      </c>
      <c r="I103" s="23">
        <f t="shared" si="18"/>
        <v>21.12930165</v>
      </c>
      <c r="J103" s="6"/>
      <c r="K103" s="5"/>
      <c r="L103" s="5"/>
      <c r="M103" s="5"/>
      <c r="N103" s="5"/>
      <c r="O103" s="6"/>
      <c r="P103" s="6"/>
      <c r="Q103" s="6"/>
      <c r="R103" s="6"/>
      <c r="S103" s="6"/>
      <c r="T103" s="6"/>
    </row>
    <row r="104" ht="15.75" customHeight="1">
      <c r="A104" s="24"/>
      <c r="B104" s="45"/>
      <c r="C104" s="46" t="s">
        <v>228</v>
      </c>
      <c r="D104" s="38" t="s">
        <v>229</v>
      </c>
      <c r="E104" s="47">
        <v>0.0</v>
      </c>
      <c r="F104" s="47">
        <v>1.5</v>
      </c>
      <c r="G104" s="47">
        <v>0.0</v>
      </c>
      <c r="H104" s="30">
        <f t="shared" ref="H104:H121" si="19">SUM(E104:G104)*L$163</f>
        <v>0.5316636201</v>
      </c>
      <c r="I104" s="30">
        <f t="shared" ref="I104:I121" si="20">SUM(E104:H104)</f>
        <v>2.03166362</v>
      </c>
      <c r="J104" s="6"/>
      <c r="K104" s="5"/>
      <c r="L104" s="5"/>
      <c r="M104" s="5"/>
      <c r="N104" s="5"/>
      <c r="O104" s="6"/>
      <c r="P104" s="6"/>
      <c r="Q104" s="6"/>
      <c r="R104" s="6"/>
      <c r="S104" s="6"/>
      <c r="T104" s="6"/>
    </row>
    <row r="105" ht="15.75" customHeight="1">
      <c r="A105" s="24"/>
      <c r="B105" s="45"/>
      <c r="C105" s="15"/>
      <c r="D105" s="38" t="s">
        <v>233</v>
      </c>
      <c r="E105" s="47">
        <v>0.0</v>
      </c>
      <c r="F105" s="47">
        <v>0.0</v>
      </c>
      <c r="G105" s="47">
        <v>1.25</v>
      </c>
      <c r="H105" s="30">
        <f t="shared" si="19"/>
        <v>0.4430530167</v>
      </c>
      <c r="I105" s="30">
        <f t="shared" si="20"/>
        <v>1.693053017</v>
      </c>
      <c r="J105" s="6"/>
      <c r="K105" s="5"/>
      <c r="L105" s="5"/>
      <c r="M105" s="5"/>
      <c r="N105" s="5"/>
      <c r="O105" s="6"/>
      <c r="P105" s="6"/>
      <c r="Q105" s="6"/>
      <c r="R105" s="6"/>
      <c r="S105" s="6"/>
      <c r="T105" s="6"/>
    </row>
    <row r="106" ht="15.75" customHeight="1">
      <c r="A106" s="24"/>
      <c r="B106" s="45"/>
      <c r="C106" s="64" t="s">
        <v>236</v>
      </c>
      <c r="D106" s="38" t="s">
        <v>238</v>
      </c>
      <c r="E106" s="47">
        <v>0.0</v>
      </c>
      <c r="F106" s="47">
        <v>1.25</v>
      </c>
      <c r="G106" s="47">
        <v>0.0</v>
      </c>
      <c r="H106" s="30">
        <f t="shared" si="19"/>
        <v>0.4430530167</v>
      </c>
      <c r="I106" s="30">
        <f t="shared" si="20"/>
        <v>1.693053017</v>
      </c>
      <c r="J106" s="6"/>
      <c r="K106" s="5"/>
      <c r="L106" s="5"/>
      <c r="M106" s="5"/>
      <c r="N106" s="5"/>
      <c r="O106" s="6"/>
      <c r="P106" s="6"/>
      <c r="Q106" s="6"/>
      <c r="R106" s="6"/>
      <c r="S106" s="6"/>
      <c r="T106" s="6"/>
    </row>
    <row r="107" ht="15.75" customHeight="1">
      <c r="A107" s="24"/>
      <c r="B107" s="45"/>
      <c r="C107" s="34"/>
      <c r="D107" s="38" t="s">
        <v>241</v>
      </c>
      <c r="E107" s="47">
        <v>0.0</v>
      </c>
      <c r="F107" s="47">
        <v>1.0</v>
      </c>
      <c r="G107" s="47">
        <v>0.0</v>
      </c>
      <c r="H107" s="30">
        <f t="shared" si="19"/>
        <v>0.3544424134</v>
      </c>
      <c r="I107" s="30">
        <f t="shared" si="20"/>
        <v>1.354442413</v>
      </c>
      <c r="J107" s="6"/>
      <c r="K107" s="5"/>
      <c r="L107" s="5"/>
      <c r="M107" s="5"/>
      <c r="N107" s="5"/>
      <c r="O107" s="6"/>
      <c r="P107" s="6"/>
      <c r="Q107" s="6"/>
      <c r="R107" s="6"/>
      <c r="S107" s="6"/>
      <c r="T107" s="6"/>
    </row>
    <row r="108" ht="15.75" customHeight="1">
      <c r="A108" s="24"/>
      <c r="B108" s="45"/>
      <c r="C108" s="34"/>
      <c r="D108" s="38" t="s">
        <v>242</v>
      </c>
      <c r="E108" s="47">
        <v>0.0</v>
      </c>
      <c r="F108" s="47">
        <v>0.75</v>
      </c>
      <c r="G108" s="47">
        <v>0.0</v>
      </c>
      <c r="H108" s="30">
        <f t="shared" si="19"/>
        <v>0.26583181</v>
      </c>
      <c r="I108" s="30">
        <f t="shared" si="20"/>
        <v>1.01583181</v>
      </c>
      <c r="J108" s="6"/>
      <c r="K108" s="5"/>
      <c r="L108" s="5"/>
      <c r="M108" s="5"/>
      <c r="N108" s="5"/>
      <c r="O108" s="6"/>
      <c r="P108" s="6"/>
      <c r="Q108" s="6"/>
      <c r="R108" s="6"/>
      <c r="S108" s="6"/>
      <c r="T108" s="6"/>
    </row>
    <row r="109" ht="15.75" customHeight="1">
      <c r="A109" s="24"/>
      <c r="B109" s="45"/>
      <c r="C109" s="34"/>
      <c r="D109" s="38" t="s">
        <v>243</v>
      </c>
      <c r="E109" s="47">
        <v>0.0</v>
      </c>
      <c r="F109" s="47">
        <v>1.0</v>
      </c>
      <c r="G109" s="47">
        <v>0.0</v>
      </c>
      <c r="H109" s="30">
        <f t="shared" si="19"/>
        <v>0.3544424134</v>
      </c>
      <c r="I109" s="30">
        <f t="shared" si="20"/>
        <v>1.354442413</v>
      </c>
      <c r="J109" s="6"/>
      <c r="K109" s="5"/>
      <c r="L109" s="5"/>
      <c r="M109" s="5"/>
      <c r="N109" s="5"/>
      <c r="O109" s="6"/>
      <c r="P109" s="6"/>
      <c r="Q109" s="6"/>
      <c r="R109" s="6"/>
      <c r="S109" s="6"/>
      <c r="T109" s="6"/>
    </row>
    <row r="110" ht="15.75" customHeight="1">
      <c r="A110" s="24"/>
      <c r="B110" s="45"/>
      <c r="C110" s="34"/>
      <c r="D110" s="38" t="s">
        <v>246</v>
      </c>
      <c r="E110" s="47">
        <v>0.0</v>
      </c>
      <c r="F110" s="47">
        <v>0.75</v>
      </c>
      <c r="G110" s="47">
        <v>0.0</v>
      </c>
      <c r="H110" s="30">
        <f t="shared" si="19"/>
        <v>0.26583181</v>
      </c>
      <c r="I110" s="30">
        <f t="shared" si="20"/>
        <v>1.01583181</v>
      </c>
      <c r="J110" s="6"/>
      <c r="K110" s="5"/>
      <c r="L110" s="5"/>
      <c r="M110" s="5"/>
      <c r="N110" s="5"/>
      <c r="O110" s="6"/>
      <c r="P110" s="6"/>
      <c r="Q110" s="6"/>
      <c r="R110" s="6"/>
      <c r="S110" s="6"/>
      <c r="T110" s="6"/>
    </row>
    <row r="111" ht="15.75" customHeight="1">
      <c r="A111" s="24"/>
      <c r="B111" s="45"/>
      <c r="C111" s="34"/>
      <c r="D111" s="38" t="s">
        <v>247</v>
      </c>
      <c r="E111" s="47">
        <v>0.0</v>
      </c>
      <c r="F111" s="47">
        <v>1.25</v>
      </c>
      <c r="G111" s="47">
        <v>0.0</v>
      </c>
      <c r="H111" s="30">
        <f t="shared" si="19"/>
        <v>0.4430530167</v>
      </c>
      <c r="I111" s="30">
        <f t="shared" si="20"/>
        <v>1.693053017</v>
      </c>
      <c r="J111" s="6"/>
      <c r="K111" s="5"/>
      <c r="L111" s="5"/>
      <c r="M111" s="5"/>
      <c r="N111" s="5"/>
      <c r="O111" s="6"/>
      <c r="P111" s="6"/>
      <c r="Q111" s="6"/>
      <c r="R111" s="6"/>
      <c r="S111" s="6"/>
      <c r="T111" s="6"/>
    </row>
    <row r="112" ht="15.75" customHeight="1">
      <c r="A112" s="24"/>
      <c r="B112" s="45"/>
      <c r="C112" s="34"/>
      <c r="D112" s="38" t="s">
        <v>250</v>
      </c>
      <c r="E112" s="47">
        <v>0.0</v>
      </c>
      <c r="F112" s="47">
        <v>0.5</v>
      </c>
      <c r="G112" s="47">
        <v>0.0</v>
      </c>
      <c r="H112" s="30">
        <f t="shared" si="19"/>
        <v>0.1772212067</v>
      </c>
      <c r="I112" s="30">
        <f t="shared" si="20"/>
        <v>0.6772212067</v>
      </c>
      <c r="J112" s="5"/>
      <c r="K112" s="5"/>
      <c r="L112" s="5"/>
      <c r="M112" s="5"/>
      <c r="N112" s="5"/>
      <c r="O112" s="6"/>
      <c r="P112" s="6"/>
      <c r="Q112" s="6"/>
      <c r="R112" s="6"/>
      <c r="S112" s="6"/>
      <c r="T112" s="6"/>
    </row>
    <row r="113" ht="15.75" customHeight="1">
      <c r="A113" s="24"/>
      <c r="B113" s="45"/>
      <c r="C113" s="15"/>
      <c r="D113" s="38" t="s">
        <v>252</v>
      </c>
      <c r="E113" s="47">
        <v>0.0</v>
      </c>
      <c r="F113" s="47">
        <v>0.5</v>
      </c>
      <c r="G113" s="47">
        <v>0.0</v>
      </c>
      <c r="H113" s="30">
        <f t="shared" si="19"/>
        <v>0.1772212067</v>
      </c>
      <c r="I113" s="30">
        <f t="shared" si="20"/>
        <v>0.6772212067</v>
      </c>
      <c r="J113" s="6"/>
      <c r="K113" s="5"/>
      <c r="L113" s="5"/>
      <c r="M113" s="5"/>
      <c r="N113" s="5"/>
      <c r="O113" s="6"/>
      <c r="P113" s="6"/>
      <c r="Q113" s="6"/>
      <c r="R113" s="6"/>
      <c r="S113" s="6"/>
      <c r="T113" s="6"/>
    </row>
    <row r="114" ht="15.75" customHeight="1">
      <c r="A114" s="24"/>
      <c r="B114" s="45"/>
      <c r="C114" s="64" t="s">
        <v>255</v>
      </c>
      <c r="D114" s="38" t="s">
        <v>257</v>
      </c>
      <c r="E114" s="47">
        <v>0.0</v>
      </c>
      <c r="F114" s="47">
        <v>0.0</v>
      </c>
      <c r="G114" s="47">
        <v>0.75</v>
      </c>
      <c r="H114" s="30">
        <f t="shared" si="19"/>
        <v>0.26583181</v>
      </c>
      <c r="I114" s="30">
        <f t="shared" si="20"/>
        <v>1.01583181</v>
      </c>
      <c r="J114" s="6"/>
      <c r="K114" s="5"/>
      <c r="L114" s="5"/>
      <c r="M114" s="5"/>
      <c r="N114" s="5"/>
      <c r="O114" s="6"/>
      <c r="P114" s="6"/>
      <c r="Q114" s="6"/>
      <c r="R114" s="6"/>
      <c r="S114" s="6"/>
      <c r="T114" s="6"/>
    </row>
    <row r="115" ht="15.75" customHeight="1">
      <c r="A115" s="24"/>
      <c r="B115" s="45"/>
      <c r="C115" s="34"/>
      <c r="D115" s="38" t="s">
        <v>259</v>
      </c>
      <c r="E115" s="47">
        <v>0.0</v>
      </c>
      <c r="F115" s="47">
        <v>0.0</v>
      </c>
      <c r="G115" s="47">
        <v>1.0</v>
      </c>
      <c r="H115" s="30">
        <f t="shared" si="19"/>
        <v>0.3544424134</v>
      </c>
      <c r="I115" s="30">
        <f t="shared" si="20"/>
        <v>1.354442413</v>
      </c>
      <c r="J115" s="6"/>
      <c r="K115" s="5"/>
      <c r="L115" s="5"/>
      <c r="M115" s="5"/>
      <c r="N115" s="5"/>
      <c r="O115" s="6"/>
      <c r="P115" s="6"/>
      <c r="Q115" s="6"/>
      <c r="R115" s="6"/>
      <c r="S115" s="6"/>
      <c r="T115" s="6"/>
    </row>
    <row r="116" ht="15.75" customHeight="1">
      <c r="A116" s="24"/>
      <c r="B116" s="45"/>
      <c r="C116" s="34"/>
      <c r="D116" s="38" t="s">
        <v>262</v>
      </c>
      <c r="E116" s="47">
        <v>0.0</v>
      </c>
      <c r="F116" s="47">
        <v>0.0</v>
      </c>
      <c r="G116" s="47">
        <v>1.25</v>
      </c>
      <c r="H116" s="30">
        <f t="shared" si="19"/>
        <v>0.4430530167</v>
      </c>
      <c r="I116" s="30">
        <f t="shared" si="20"/>
        <v>1.693053017</v>
      </c>
      <c r="J116" s="6"/>
      <c r="K116" s="5"/>
      <c r="L116" s="5"/>
      <c r="M116" s="5"/>
      <c r="N116" s="5"/>
      <c r="O116" s="6"/>
      <c r="P116" s="6"/>
      <c r="Q116" s="6"/>
      <c r="R116" s="6"/>
      <c r="S116" s="6"/>
      <c r="T116" s="6"/>
    </row>
    <row r="117" ht="15.75" customHeight="1">
      <c r="A117" s="24"/>
      <c r="B117" s="45"/>
      <c r="C117" s="34"/>
      <c r="D117" s="38" t="s">
        <v>264</v>
      </c>
      <c r="E117" s="47">
        <v>0.0</v>
      </c>
      <c r="F117" s="47">
        <v>0.0</v>
      </c>
      <c r="G117" s="47">
        <v>0.6</v>
      </c>
      <c r="H117" s="30">
        <f t="shared" si="19"/>
        <v>0.212665448</v>
      </c>
      <c r="I117" s="30">
        <f t="shared" si="20"/>
        <v>0.812665448</v>
      </c>
      <c r="J117" s="6"/>
      <c r="K117" s="5"/>
      <c r="L117" s="5"/>
      <c r="M117" s="5"/>
      <c r="N117" s="5"/>
      <c r="O117" s="6"/>
      <c r="P117" s="6"/>
      <c r="Q117" s="6"/>
      <c r="R117" s="6"/>
      <c r="S117" s="6"/>
      <c r="T117" s="6"/>
    </row>
    <row r="118" ht="15.75" customHeight="1">
      <c r="A118" s="24"/>
      <c r="B118" s="45"/>
      <c r="C118" s="15"/>
      <c r="D118" s="38" t="s">
        <v>266</v>
      </c>
      <c r="E118" s="47">
        <v>0.0</v>
      </c>
      <c r="F118" s="47">
        <v>0.0</v>
      </c>
      <c r="G118" s="47">
        <v>0.4</v>
      </c>
      <c r="H118" s="30">
        <f t="shared" si="19"/>
        <v>0.1417769654</v>
      </c>
      <c r="I118" s="30">
        <f t="shared" si="20"/>
        <v>0.5417769654</v>
      </c>
      <c r="J118" s="6"/>
      <c r="K118" s="5"/>
      <c r="L118" s="5"/>
      <c r="M118" s="5"/>
      <c r="N118" s="5"/>
      <c r="O118" s="6"/>
      <c r="P118" s="6"/>
      <c r="Q118" s="6"/>
      <c r="R118" s="6"/>
      <c r="S118" s="6"/>
      <c r="T118" s="6"/>
    </row>
    <row r="119" ht="15.75" customHeight="1">
      <c r="A119" s="24"/>
      <c r="B119" s="45"/>
      <c r="C119" s="64" t="s">
        <v>267</v>
      </c>
      <c r="D119" s="38" t="s">
        <v>268</v>
      </c>
      <c r="E119" s="47">
        <v>0.6</v>
      </c>
      <c r="F119" s="47">
        <v>0.0</v>
      </c>
      <c r="G119" s="47">
        <v>0.0</v>
      </c>
      <c r="H119" s="30">
        <f t="shared" si="19"/>
        <v>0.212665448</v>
      </c>
      <c r="I119" s="30">
        <f t="shared" si="20"/>
        <v>0.812665448</v>
      </c>
      <c r="J119" s="6"/>
      <c r="K119" s="5"/>
      <c r="L119" s="5"/>
      <c r="M119" s="5"/>
      <c r="N119" s="5"/>
      <c r="O119" s="6"/>
      <c r="P119" s="6"/>
      <c r="Q119" s="6"/>
      <c r="R119" s="6"/>
      <c r="S119" s="6"/>
      <c r="T119" s="6"/>
    </row>
    <row r="120" ht="15.75" customHeight="1">
      <c r="A120" s="24"/>
      <c r="B120" s="45"/>
      <c r="C120" s="34"/>
      <c r="D120" s="38" t="s">
        <v>269</v>
      </c>
      <c r="E120" s="47">
        <v>0.0</v>
      </c>
      <c r="F120" s="47">
        <v>0.75</v>
      </c>
      <c r="G120" s="47">
        <v>0.0</v>
      </c>
      <c r="H120" s="30">
        <f t="shared" si="19"/>
        <v>0.26583181</v>
      </c>
      <c r="I120" s="30">
        <f t="shared" si="20"/>
        <v>1.01583181</v>
      </c>
      <c r="J120" s="6"/>
      <c r="K120" s="5"/>
      <c r="L120" s="5"/>
      <c r="M120" s="5"/>
      <c r="N120" s="5"/>
      <c r="O120" s="6"/>
      <c r="P120" s="6"/>
      <c r="Q120" s="6"/>
      <c r="R120" s="6"/>
      <c r="S120" s="6"/>
      <c r="T120" s="6"/>
    </row>
    <row r="121" ht="15.75" customHeight="1">
      <c r="A121" s="24"/>
      <c r="B121" s="45"/>
      <c r="C121" s="15"/>
      <c r="D121" s="38" t="s">
        <v>270</v>
      </c>
      <c r="E121" s="47">
        <v>0.0</v>
      </c>
      <c r="F121" s="47">
        <v>0.5</v>
      </c>
      <c r="G121" s="47">
        <v>0.0</v>
      </c>
      <c r="H121" s="30">
        <f t="shared" si="19"/>
        <v>0.1772212067</v>
      </c>
      <c r="I121" s="30">
        <f t="shared" si="20"/>
        <v>0.6772212067</v>
      </c>
      <c r="J121" s="6"/>
      <c r="K121" s="5"/>
      <c r="L121" s="5"/>
      <c r="M121" s="5"/>
      <c r="N121" s="5"/>
      <c r="O121" s="6"/>
      <c r="P121" s="6"/>
      <c r="Q121" s="6"/>
      <c r="R121" s="6"/>
      <c r="S121" s="6"/>
      <c r="T121" s="6"/>
    </row>
    <row r="122" ht="15.75" customHeight="1">
      <c r="A122" s="16" t="s">
        <v>239</v>
      </c>
      <c r="B122" s="18" t="s">
        <v>271</v>
      </c>
      <c r="C122" s="20"/>
      <c r="D122" s="22"/>
      <c r="E122" s="23">
        <f t="shared" ref="E122:I122" si="21">SUM(E123:E161)</f>
        <v>4.05</v>
      </c>
      <c r="F122" s="23">
        <f t="shared" si="21"/>
        <v>14.5</v>
      </c>
      <c r="G122" s="23">
        <f t="shared" si="21"/>
        <v>6.55</v>
      </c>
      <c r="H122" s="23">
        <f t="shared" si="21"/>
        <v>8.896504576</v>
      </c>
      <c r="I122" s="23">
        <f t="shared" si="21"/>
        <v>33.99650458</v>
      </c>
      <c r="J122" s="6"/>
      <c r="K122" s="5"/>
      <c r="L122" s="5"/>
      <c r="M122" s="5"/>
      <c r="N122" s="5"/>
      <c r="O122" s="6"/>
      <c r="P122" s="6"/>
      <c r="Q122" s="6"/>
      <c r="R122" s="6"/>
      <c r="S122" s="6"/>
      <c r="T122" s="6"/>
    </row>
    <row r="123" ht="15.75" customHeight="1">
      <c r="A123" s="70"/>
      <c r="B123" s="71"/>
      <c r="C123" s="54" t="s">
        <v>272</v>
      </c>
      <c r="D123" s="38" t="s">
        <v>273</v>
      </c>
      <c r="E123" s="47">
        <v>0.5</v>
      </c>
      <c r="F123" s="47">
        <v>0.0</v>
      </c>
      <c r="G123" s="47">
        <v>0.0</v>
      </c>
      <c r="H123" s="30">
        <f t="shared" ref="H123:H161" si="22">SUM(E123:G123)*L$163</f>
        <v>0.1772212067</v>
      </c>
      <c r="I123" s="30">
        <f t="shared" ref="I123:I161" si="23">SUM(E123:H123)</f>
        <v>0.6772212067</v>
      </c>
      <c r="J123" s="72"/>
      <c r="K123" s="73"/>
      <c r="L123" s="73"/>
      <c r="M123" s="73"/>
      <c r="N123" s="73"/>
      <c r="O123" s="72"/>
      <c r="P123" s="72"/>
      <c r="Q123" s="72"/>
      <c r="R123" s="72"/>
      <c r="S123" s="72"/>
      <c r="T123" s="72"/>
      <c r="U123" s="63"/>
      <c r="V123" s="63"/>
      <c r="W123" s="63"/>
      <c r="X123" s="63"/>
      <c r="Y123" s="63"/>
      <c r="Z123" s="63"/>
    </row>
    <row r="124" ht="15.75" customHeight="1">
      <c r="A124" s="24"/>
      <c r="B124" s="45"/>
      <c r="C124" s="34"/>
      <c r="D124" s="38" t="s">
        <v>274</v>
      </c>
      <c r="E124" s="47">
        <v>0.0</v>
      </c>
      <c r="F124" s="47">
        <v>1.25</v>
      </c>
      <c r="G124" s="47">
        <v>0.0</v>
      </c>
      <c r="H124" s="30">
        <f t="shared" si="22"/>
        <v>0.4430530167</v>
      </c>
      <c r="I124" s="30">
        <f t="shared" si="23"/>
        <v>1.693053017</v>
      </c>
      <c r="J124" s="6"/>
      <c r="K124" s="5"/>
      <c r="L124" s="5"/>
      <c r="M124" s="5"/>
      <c r="N124" s="5"/>
      <c r="O124" s="6"/>
      <c r="P124" s="6"/>
      <c r="Q124" s="6"/>
      <c r="R124" s="6"/>
      <c r="S124" s="6"/>
      <c r="T124" s="6"/>
    </row>
    <row r="125" ht="26.25" customHeight="1">
      <c r="A125" s="24"/>
      <c r="B125" s="45"/>
      <c r="C125" s="34"/>
      <c r="D125" s="38" t="s">
        <v>275</v>
      </c>
      <c r="E125" s="47">
        <v>0.0</v>
      </c>
      <c r="F125" s="47">
        <v>0.75</v>
      </c>
      <c r="G125" s="47">
        <v>0.0</v>
      </c>
      <c r="H125" s="30">
        <f t="shared" si="22"/>
        <v>0.26583181</v>
      </c>
      <c r="I125" s="30">
        <f t="shared" si="23"/>
        <v>1.01583181</v>
      </c>
      <c r="J125" s="6"/>
      <c r="K125" s="5"/>
      <c r="L125" s="5"/>
      <c r="M125" s="5"/>
      <c r="N125" s="5"/>
      <c r="O125" s="6"/>
      <c r="P125" s="6"/>
      <c r="Q125" s="6"/>
      <c r="R125" s="6"/>
      <c r="S125" s="6"/>
      <c r="T125" s="6"/>
    </row>
    <row r="126" ht="15.75" customHeight="1">
      <c r="A126" s="24"/>
      <c r="B126" s="45"/>
      <c r="C126" s="34"/>
      <c r="D126" s="38" t="s">
        <v>276</v>
      </c>
      <c r="E126" s="47">
        <v>0.0</v>
      </c>
      <c r="F126" s="47">
        <v>1.0</v>
      </c>
      <c r="G126" s="47">
        <v>0.0</v>
      </c>
      <c r="H126" s="30">
        <f t="shared" si="22"/>
        <v>0.3544424134</v>
      </c>
      <c r="I126" s="30">
        <f t="shared" si="23"/>
        <v>1.354442413</v>
      </c>
      <c r="J126" s="6"/>
      <c r="K126" s="5"/>
      <c r="L126" s="5"/>
      <c r="M126" s="5"/>
      <c r="N126" s="5"/>
      <c r="O126" s="6"/>
      <c r="P126" s="6"/>
      <c r="Q126" s="6"/>
      <c r="R126" s="6"/>
      <c r="S126" s="6"/>
      <c r="T126" s="6"/>
    </row>
    <row r="127" ht="15.75" customHeight="1">
      <c r="A127" s="24"/>
      <c r="B127" s="45"/>
      <c r="C127" s="34"/>
      <c r="D127" s="38" t="s">
        <v>277</v>
      </c>
      <c r="E127" s="47">
        <v>0.0</v>
      </c>
      <c r="F127" s="47">
        <v>0.5</v>
      </c>
      <c r="G127" s="47">
        <v>0.0</v>
      </c>
      <c r="H127" s="30">
        <f t="shared" si="22"/>
        <v>0.1772212067</v>
      </c>
      <c r="I127" s="30">
        <f t="shared" si="23"/>
        <v>0.6772212067</v>
      </c>
      <c r="J127" s="6"/>
      <c r="K127" s="5"/>
      <c r="L127" s="5"/>
      <c r="M127" s="5"/>
      <c r="N127" s="5"/>
      <c r="O127" s="6"/>
      <c r="P127" s="6"/>
      <c r="Q127" s="6"/>
      <c r="R127" s="6"/>
      <c r="S127" s="6"/>
      <c r="T127" s="6"/>
    </row>
    <row r="128" ht="15.75" customHeight="1">
      <c r="A128" s="24"/>
      <c r="B128" s="45"/>
      <c r="C128" s="34"/>
      <c r="D128" s="38" t="s">
        <v>278</v>
      </c>
      <c r="E128" s="47">
        <v>0.0</v>
      </c>
      <c r="F128" s="47">
        <v>0.75</v>
      </c>
      <c r="G128" s="47">
        <v>0.0</v>
      </c>
      <c r="H128" s="30">
        <f t="shared" si="22"/>
        <v>0.26583181</v>
      </c>
      <c r="I128" s="30">
        <f t="shared" si="23"/>
        <v>1.01583181</v>
      </c>
      <c r="J128" s="6"/>
      <c r="K128" s="5"/>
      <c r="L128" s="5"/>
      <c r="M128" s="5"/>
      <c r="N128" s="5"/>
      <c r="O128" s="6"/>
      <c r="P128" s="6"/>
      <c r="Q128" s="6"/>
      <c r="R128" s="6"/>
      <c r="S128" s="6"/>
      <c r="T128" s="6"/>
    </row>
    <row r="129" ht="15.75" customHeight="1">
      <c r="A129" s="24"/>
      <c r="B129" s="45"/>
      <c r="C129" s="34"/>
      <c r="D129" s="38" t="s">
        <v>279</v>
      </c>
      <c r="E129" s="47">
        <v>0.0</v>
      </c>
      <c r="F129" s="47">
        <v>0.0</v>
      </c>
      <c r="G129" s="47">
        <v>0.3</v>
      </c>
      <c r="H129" s="30">
        <f t="shared" si="22"/>
        <v>0.106332724</v>
      </c>
      <c r="I129" s="30">
        <f t="shared" si="23"/>
        <v>0.406332724</v>
      </c>
      <c r="J129" s="6"/>
      <c r="K129" s="5"/>
      <c r="L129" s="5"/>
      <c r="M129" s="5"/>
      <c r="N129" s="5"/>
      <c r="O129" s="6"/>
      <c r="P129" s="6"/>
      <c r="Q129" s="6"/>
      <c r="R129" s="6"/>
      <c r="S129" s="6"/>
      <c r="T129" s="6"/>
    </row>
    <row r="130" ht="15.75" customHeight="1">
      <c r="A130" s="24"/>
      <c r="B130" s="45"/>
      <c r="C130" s="34"/>
      <c r="D130" s="38" t="s">
        <v>280</v>
      </c>
      <c r="E130" s="47">
        <v>0.0</v>
      </c>
      <c r="F130" s="47">
        <v>0.0</v>
      </c>
      <c r="G130" s="47">
        <v>0.25</v>
      </c>
      <c r="H130" s="30">
        <f t="shared" si="22"/>
        <v>0.08861060334</v>
      </c>
      <c r="I130" s="30">
        <f t="shared" si="23"/>
        <v>0.3386106033</v>
      </c>
      <c r="J130" s="6"/>
      <c r="K130" s="5"/>
      <c r="L130" s="5"/>
      <c r="M130" s="5"/>
      <c r="N130" s="5"/>
      <c r="O130" s="6"/>
      <c r="P130" s="6"/>
      <c r="Q130" s="6"/>
      <c r="R130" s="6"/>
      <c r="S130" s="6"/>
      <c r="T130" s="6"/>
    </row>
    <row r="131" ht="15.75" customHeight="1">
      <c r="A131" s="24"/>
      <c r="B131" s="45"/>
      <c r="C131" s="15"/>
      <c r="D131" s="38" t="s">
        <v>281</v>
      </c>
      <c r="E131" s="47">
        <v>0.0</v>
      </c>
      <c r="F131" s="47">
        <v>0.0</v>
      </c>
      <c r="G131" s="47">
        <v>0.2</v>
      </c>
      <c r="H131" s="30">
        <f t="shared" si="22"/>
        <v>0.07088848268</v>
      </c>
      <c r="I131" s="30">
        <f t="shared" si="23"/>
        <v>0.2708884827</v>
      </c>
      <c r="J131" s="6"/>
      <c r="K131" s="5"/>
      <c r="L131" s="5"/>
      <c r="M131" s="5"/>
      <c r="N131" s="5"/>
      <c r="O131" s="6"/>
      <c r="P131" s="6"/>
      <c r="Q131" s="6"/>
      <c r="R131" s="6"/>
      <c r="S131" s="6"/>
      <c r="T131" s="6"/>
    </row>
    <row r="132" ht="15.75" customHeight="1">
      <c r="A132" s="24"/>
      <c r="B132" s="45"/>
      <c r="C132" s="74" t="s">
        <v>282</v>
      </c>
      <c r="D132" s="38" t="s">
        <v>283</v>
      </c>
      <c r="E132" s="47">
        <v>0.25</v>
      </c>
      <c r="F132" s="47">
        <v>0.0</v>
      </c>
      <c r="G132" s="47">
        <v>0.0</v>
      </c>
      <c r="H132" s="30">
        <f t="shared" si="22"/>
        <v>0.08861060334</v>
      </c>
      <c r="I132" s="30">
        <f t="shared" si="23"/>
        <v>0.3386106033</v>
      </c>
      <c r="J132" s="6"/>
      <c r="K132" s="5"/>
      <c r="L132" s="5"/>
      <c r="M132" s="5"/>
      <c r="N132" s="5"/>
      <c r="O132" s="6"/>
      <c r="P132" s="6"/>
      <c r="Q132" s="6"/>
      <c r="R132" s="6"/>
      <c r="S132" s="6"/>
      <c r="T132" s="6"/>
    </row>
    <row r="133" ht="15.75" customHeight="1">
      <c r="A133" s="24"/>
      <c r="B133" s="45"/>
      <c r="C133" s="34"/>
      <c r="D133" s="75" t="s">
        <v>284</v>
      </c>
      <c r="E133" s="47">
        <v>0.0</v>
      </c>
      <c r="F133" s="47">
        <v>1.0</v>
      </c>
      <c r="G133" s="47">
        <v>0.0</v>
      </c>
      <c r="H133" s="30">
        <f t="shared" si="22"/>
        <v>0.3544424134</v>
      </c>
      <c r="I133" s="30">
        <f t="shared" si="23"/>
        <v>1.354442413</v>
      </c>
      <c r="J133" s="6"/>
      <c r="K133" s="5"/>
      <c r="L133" s="5"/>
      <c r="M133" s="5"/>
      <c r="N133" s="5"/>
      <c r="O133" s="6"/>
      <c r="P133" s="6"/>
      <c r="Q133" s="6"/>
      <c r="R133" s="6"/>
      <c r="S133" s="6"/>
      <c r="T133" s="6"/>
    </row>
    <row r="134" ht="15.75" customHeight="1">
      <c r="A134" s="24"/>
      <c r="B134" s="45"/>
      <c r="C134" s="15"/>
      <c r="D134" s="75" t="s">
        <v>285</v>
      </c>
      <c r="E134" s="47">
        <v>0.0</v>
      </c>
      <c r="F134" s="47">
        <v>1.0</v>
      </c>
      <c r="G134" s="47">
        <v>0.0</v>
      </c>
      <c r="H134" s="30">
        <f t="shared" si="22"/>
        <v>0.3544424134</v>
      </c>
      <c r="I134" s="30">
        <f t="shared" si="23"/>
        <v>1.354442413</v>
      </c>
      <c r="J134" s="6"/>
      <c r="K134" s="5"/>
      <c r="L134" s="5"/>
      <c r="M134" s="5"/>
      <c r="N134" s="5"/>
      <c r="O134" s="6"/>
      <c r="P134" s="6"/>
      <c r="Q134" s="6"/>
      <c r="R134" s="6"/>
      <c r="S134" s="6"/>
      <c r="T134" s="6"/>
    </row>
    <row r="135" ht="15.75" customHeight="1">
      <c r="A135" s="24"/>
      <c r="B135" s="45"/>
      <c r="C135" s="54" t="s">
        <v>286</v>
      </c>
      <c r="D135" s="38" t="s">
        <v>287</v>
      </c>
      <c r="E135" s="47">
        <v>1.0</v>
      </c>
      <c r="F135" s="47">
        <v>1.0</v>
      </c>
      <c r="G135" s="47">
        <v>0.0</v>
      </c>
      <c r="H135" s="30">
        <f t="shared" si="22"/>
        <v>0.7088848268</v>
      </c>
      <c r="I135" s="30">
        <f t="shared" si="23"/>
        <v>2.708884827</v>
      </c>
      <c r="J135" s="6"/>
      <c r="K135" s="5"/>
      <c r="L135" s="5"/>
      <c r="M135" s="5"/>
      <c r="N135" s="5"/>
      <c r="O135" s="6"/>
      <c r="P135" s="6"/>
      <c r="Q135" s="6"/>
      <c r="R135" s="6"/>
      <c r="S135" s="6"/>
      <c r="T135" s="6"/>
    </row>
    <row r="136" ht="15.75" customHeight="1">
      <c r="A136" s="24"/>
      <c r="B136" s="45"/>
      <c r="C136" s="34"/>
      <c r="D136" s="38" t="s">
        <v>288</v>
      </c>
      <c r="E136" s="47">
        <v>0.0</v>
      </c>
      <c r="F136" s="47">
        <v>0.75</v>
      </c>
      <c r="G136" s="47">
        <v>0.0</v>
      </c>
      <c r="H136" s="30">
        <f t="shared" si="22"/>
        <v>0.26583181</v>
      </c>
      <c r="I136" s="30">
        <f t="shared" si="23"/>
        <v>1.01583181</v>
      </c>
      <c r="J136" s="6"/>
      <c r="K136" s="5"/>
      <c r="L136" s="5"/>
      <c r="M136" s="5"/>
      <c r="N136" s="5"/>
      <c r="O136" s="6"/>
      <c r="P136" s="6"/>
      <c r="Q136" s="6"/>
      <c r="R136" s="6"/>
      <c r="S136" s="6"/>
      <c r="T136" s="6"/>
    </row>
    <row r="137" ht="15.75" customHeight="1">
      <c r="A137" s="24"/>
      <c r="B137" s="45"/>
      <c r="C137" s="34"/>
      <c r="D137" s="38" t="s">
        <v>289</v>
      </c>
      <c r="E137" s="47">
        <v>0.0</v>
      </c>
      <c r="F137" s="47">
        <v>0.5</v>
      </c>
      <c r="G137" s="47">
        <v>0.0</v>
      </c>
      <c r="H137" s="30">
        <f t="shared" si="22"/>
        <v>0.1772212067</v>
      </c>
      <c r="I137" s="30">
        <f t="shared" si="23"/>
        <v>0.6772212067</v>
      </c>
      <c r="J137" s="6"/>
      <c r="K137" s="5"/>
      <c r="L137" s="5"/>
      <c r="M137" s="5"/>
      <c r="N137" s="5"/>
      <c r="O137" s="6"/>
      <c r="P137" s="6"/>
      <c r="Q137" s="6"/>
      <c r="R137" s="6"/>
      <c r="S137" s="6"/>
      <c r="T137" s="6"/>
    </row>
    <row r="138" ht="15.75" customHeight="1">
      <c r="A138" s="24"/>
      <c r="B138" s="45"/>
      <c r="C138" s="34"/>
      <c r="D138" s="38" t="s">
        <v>290</v>
      </c>
      <c r="E138" s="47">
        <v>0.0</v>
      </c>
      <c r="F138" s="47">
        <v>0.75</v>
      </c>
      <c r="G138" s="47">
        <v>0.0</v>
      </c>
      <c r="H138" s="30">
        <f t="shared" si="22"/>
        <v>0.26583181</v>
      </c>
      <c r="I138" s="30">
        <f t="shared" si="23"/>
        <v>1.01583181</v>
      </c>
      <c r="J138" s="6"/>
      <c r="K138" s="5"/>
      <c r="L138" s="5"/>
      <c r="M138" s="5"/>
      <c r="N138" s="5"/>
      <c r="O138" s="6"/>
      <c r="P138" s="6"/>
      <c r="Q138" s="6"/>
      <c r="R138" s="6"/>
      <c r="S138" s="6"/>
      <c r="T138" s="6"/>
    </row>
    <row r="139" ht="15.75" customHeight="1">
      <c r="A139" s="24"/>
      <c r="B139" s="45"/>
      <c r="C139" s="34"/>
      <c r="D139" s="38" t="s">
        <v>291</v>
      </c>
      <c r="E139" s="47">
        <v>0.0</v>
      </c>
      <c r="F139" s="47">
        <v>0.0</v>
      </c>
      <c r="G139" s="47">
        <v>0.75</v>
      </c>
      <c r="H139" s="30">
        <f t="shared" si="22"/>
        <v>0.26583181</v>
      </c>
      <c r="I139" s="30">
        <f t="shared" si="23"/>
        <v>1.01583181</v>
      </c>
      <c r="J139" s="6"/>
      <c r="K139" s="5"/>
      <c r="L139" s="5"/>
      <c r="M139" s="5"/>
      <c r="N139" s="5"/>
      <c r="O139" s="6"/>
      <c r="P139" s="6"/>
      <c r="Q139" s="6"/>
      <c r="R139" s="6"/>
      <c r="S139" s="6"/>
      <c r="T139" s="6"/>
    </row>
    <row r="140" ht="15.75" customHeight="1">
      <c r="A140" s="24"/>
      <c r="B140" s="45"/>
      <c r="C140" s="15"/>
      <c r="D140" s="38" t="s">
        <v>292</v>
      </c>
      <c r="E140" s="47">
        <v>0.0</v>
      </c>
      <c r="F140" s="47">
        <v>0.0</v>
      </c>
      <c r="G140" s="47">
        <v>0.5</v>
      </c>
      <c r="H140" s="30">
        <f t="shared" si="22"/>
        <v>0.1772212067</v>
      </c>
      <c r="I140" s="30">
        <f t="shared" si="23"/>
        <v>0.6772212067</v>
      </c>
      <c r="J140" s="6"/>
      <c r="K140" s="5"/>
      <c r="L140" s="5"/>
      <c r="M140" s="5"/>
      <c r="N140" s="5"/>
      <c r="O140" s="6"/>
      <c r="P140" s="6"/>
      <c r="Q140" s="6"/>
      <c r="R140" s="6"/>
      <c r="S140" s="6"/>
      <c r="T140" s="6"/>
    </row>
    <row r="141" ht="15.75" customHeight="1">
      <c r="A141" s="24"/>
      <c r="B141" s="45"/>
      <c r="C141" s="54" t="s">
        <v>293</v>
      </c>
      <c r="D141" s="38" t="s">
        <v>294</v>
      </c>
      <c r="E141" s="47">
        <v>0.6</v>
      </c>
      <c r="F141" s="47">
        <v>0.0</v>
      </c>
      <c r="G141" s="47">
        <v>0.0</v>
      </c>
      <c r="H141" s="30">
        <f t="shared" si="22"/>
        <v>0.212665448</v>
      </c>
      <c r="I141" s="30">
        <f t="shared" si="23"/>
        <v>0.812665448</v>
      </c>
      <c r="J141" s="6"/>
      <c r="K141" s="5"/>
      <c r="L141" s="5"/>
      <c r="M141" s="5"/>
      <c r="N141" s="5"/>
      <c r="O141" s="6"/>
      <c r="P141" s="6"/>
      <c r="Q141" s="6"/>
      <c r="R141" s="6"/>
      <c r="S141" s="6"/>
      <c r="T141" s="6"/>
    </row>
    <row r="142" ht="15.75" customHeight="1">
      <c r="A142" s="24"/>
      <c r="B142" s="45"/>
      <c r="C142" s="34"/>
      <c r="D142" s="38" t="s">
        <v>295</v>
      </c>
      <c r="E142" s="47">
        <v>0.0</v>
      </c>
      <c r="F142" s="47">
        <v>2.0</v>
      </c>
      <c r="G142" s="47">
        <v>0.0</v>
      </c>
      <c r="H142" s="30">
        <f t="shared" si="22"/>
        <v>0.7088848268</v>
      </c>
      <c r="I142" s="30">
        <f t="shared" si="23"/>
        <v>2.708884827</v>
      </c>
      <c r="J142" s="6"/>
      <c r="K142" s="5"/>
      <c r="L142" s="5"/>
      <c r="M142" s="5"/>
      <c r="N142" s="5"/>
      <c r="O142" s="6"/>
      <c r="P142" s="6"/>
      <c r="Q142" s="6"/>
      <c r="R142" s="6"/>
      <c r="S142" s="6"/>
      <c r="T142" s="6"/>
    </row>
    <row r="143" ht="15.75" customHeight="1">
      <c r="A143" s="24"/>
      <c r="B143" s="45"/>
      <c r="C143" s="15"/>
      <c r="D143" s="38" t="s">
        <v>296</v>
      </c>
      <c r="E143" s="47">
        <v>0.0</v>
      </c>
      <c r="F143" s="47">
        <v>0.0</v>
      </c>
      <c r="G143" s="47">
        <v>0.75</v>
      </c>
      <c r="H143" s="30">
        <f t="shared" si="22"/>
        <v>0.26583181</v>
      </c>
      <c r="I143" s="30">
        <f t="shared" si="23"/>
        <v>1.01583181</v>
      </c>
      <c r="J143" s="6"/>
      <c r="K143" s="5"/>
      <c r="L143" s="5"/>
      <c r="M143" s="5"/>
      <c r="N143" s="5"/>
      <c r="O143" s="6"/>
      <c r="P143" s="6"/>
      <c r="Q143" s="6"/>
      <c r="R143" s="6"/>
      <c r="S143" s="6"/>
      <c r="T143" s="6"/>
    </row>
    <row r="144" ht="15.75" customHeight="1">
      <c r="A144" s="24"/>
      <c r="B144" s="45"/>
      <c r="C144" s="76" t="s">
        <v>297</v>
      </c>
      <c r="D144" s="38" t="s">
        <v>298</v>
      </c>
      <c r="E144" s="47">
        <v>0.0</v>
      </c>
      <c r="F144" s="47">
        <v>0.75</v>
      </c>
      <c r="G144" s="47">
        <v>0.0</v>
      </c>
      <c r="H144" s="30">
        <f t="shared" si="22"/>
        <v>0.26583181</v>
      </c>
      <c r="I144" s="30">
        <f t="shared" si="23"/>
        <v>1.01583181</v>
      </c>
      <c r="J144" s="6"/>
      <c r="K144" s="5"/>
      <c r="L144" s="5"/>
      <c r="M144" s="5"/>
      <c r="N144" s="5"/>
      <c r="O144" s="6"/>
      <c r="P144" s="6"/>
      <c r="Q144" s="6"/>
      <c r="R144" s="6"/>
      <c r="S144" s="6"/>
      <c r="T144" s="6"/>
    </row>
    <row r="145" ht="15.75" customHeight="1">
      <c r="A145" s="24"/>
      <c r="B145" s="45"/>
      <c r="C145" s="54" t="s">
        <v>299</v>
      </c>
      <c r="D145" s="38" t="s">
        <v>300</v>
      </c>
      <c r="E145" s="47">
        <v>0.0</v>
      </c>
      <c r="F145" s="47">
        <v>0.5</v>
      </c>
      <c r="G145" s="47">
        <v>0.0</v>
      </c>
      <c r="H145" s="30">
        <f t="shared" si="22"/>
        <v>0.1772212067</v>
      </c>
      <c r="I145" s="30">
        <f t="shared" si="23"/>
        <v>0.6772212067</v>
      </c>
      <c r="J145" s="6"/>
      <c r="K145" s="5"/>
      <c r="L145" s="5"/>
      <c r="M145" s="5"/>
      <c r="N145" s="5"/>
      <c r="O145" s="6"/>
      <c r="P145" s="6"/>
      <c r="Q145" s="6"/>
      <c r="R145" s="6"/>
      <c r="S145" s="6"/>
      <c r="T145" s="6"/>
    </row>
    <row r="146" ht="15.75" customHeight="1">
      <c r="A146" s="24"/>
      <c r="B146" s="45"/>
      <c r="C146" s="15"/>
      <c r="D146" s="38" t="s">
        <v>301</v>
      </c>
      <c r="E146" s="47">
        <v>0.0</v>
      </c>
      <c r="F146" s="47">
        <v>0.0</v>
      </c>
      <c r="G146" s="47">
        <v>0.5</v>
      </c>
      <c r="H146" s="30">
        <f t="shared" si="22"/>
        <v>0.1772212067</v>
      </c>
      <c r="I146" s="30">
        <f t="shared" si="23"/>
        <v>0.6772212067</v>
      </c>
      <c r="J146" s="6"/>
      <c r="K146" s="5"/>
      <c r="L146" s="5"/>
      <c r="M146" s="5"/>
      <c r="N146" s="5"/>
      <c r="O146" s="6"/>
      <c r="P146" s="6"/>
      <c r="Q146" s="6"/>
      <c r="R146" s="6"/>
      <c r="S146" s="6"/>
      <c r="T146" s="6"/>
    </row>
    <row r="147" ht="15.75" customHeight="1">
      <c r="A147" s="24"/>
      <c r="B147" s="45"/>
      <c r="C147" s="54" t="s">
        <v>302</v>
      </c>
      <c r="D147" s="38" t="s">
        <v>303</v>
      </c>
      <c r="E147" s="47">
        <v>0.5</v>
      </c>
      <c r="F147" s="47">
        <v>0.0</v>
      </c>
      <c r="G147" s="47">
        <v>0.0</v>
      </c>
      <c r="H147" s="30">
        <f t="shared" si="22"/>
        <v>0.1772212067</v>
      </c>
      <c r="I147" s="30">
        <f t="shared" si="23"/>
        <v>0.6772212067</v>
      </c>
      <c r="J147" s="6"/>
      <c r="K147" s="5"/>
      <c r="L147" s="5"/>
      <c r="M147" s="5"/>
      <c r="N147" s="5"/>
      <c r="O147" s="6"/>
      <c r="P147" s="6"/>
      <c r="Q147" s="6"/>
      <c r="R147" s="6"/>
      <c r="S147" s="6"/>
      <c r="T147" s="6"/>
    </row>
    <row r="148" ht="21.75" customHeight="1">
      <c r="A148" s="24"/>
      <c r="B148" s="45"/>
      <c r="C148" s="34"/>
      <c r="D148" s="38" t="s">
        <v>304</v>
      </c>
      <c r="E148" s="47">
        <v>0.0</v>
      </c>
      <c r="F148" s="47">
        <v>0.2</v>
      </c>
      <c r="G148" s="47">
        <v>0.0</v>
      </c>
      <c r="H148" s="30">
        <f t="shared" si="22"/>
        <v>0.07088848268</v>
      </c>
      <c r="I148" s="30">
        <f t="shared" si="23"/>
        <v>0.2708884827</v>
      </c>
      <c r="J148" s="6"/>
      <c r="K148" s="5"/>
      <c r="L148" s="5"/>
      <c r="M148" s="5"/>
      <c r="N148" s="5"/>
      <c r="O148" s="6"/>
      <c r="P148" s="6"/>
      <c r="Q148" s="6"/>
      <c r="R148" s="6"/>
      <c r="S148" s="6"/>
      <c r="T148" s="6"/>
    </row>
    <row r="149" ht="15.75" customHeight="1">
      <c r="A149" s="24"/>
      <c r="B149" s="45"/>
      <c r="C149" s="34"/>
      <c r="D149" s="75" t="s">
        <v>305</v>
      </c>
      <c r="E149" s="47">
        <v>0.0</v>
      </c>
      <c r="F149" s="47">
        <v>1.0</v>
      </c>
      <c r="G149" s="47">
        <v>0.0</v>
      </c>
      <c r="H149" s="30">
        <f t="shared" si="22"/>
        <v>0.3544424134</v>
      </c>
      <c r="I149" s="30">
        <f t="shared" si="23"/>
        <v>1.354442413</v>
      </c>
      <c r="J149" s="6"/>
      <c r="K149" s="5"/>
      <c r="L149" s="5"/>
      <c r="M149" s="5"/>
      <c r="N149" s="5"/>
      <c r="O149" s="6"/>
      <c r="P149" s="6"/>
      <c r="Q149" s="6"/>
      <c r="R149" s="6"/>
      <c r="S149" s="6"/>
      <c r="T149" s="6"/>
    </row>
    <row r="150" ht="15.75" customHeight="1">
      <c r="A150" s="24"/>
      <c r="B150" s="45"/>
      <c r="C150" s="34"/>
      <c r="D150" s="75" t="s">
        <v>306</v>
      </c>
      <c r="E150" s="47">
        <v>0.0</v>
      </c>
      <c r="F150" s="47">
        <v>0.3</v>
      </c>
      <c r="G150" s="47">
        <v>0.0</v>
      </c>
      <c r="H150" s="30">
        <f t="shared" si="22"/>
        <v>0.106332724</v>
      </c>
      <c r="I150" s="30">
        <f t="shared" si="23"/>
        <v>0.406332724</v>
      </c>
      <c r="J150" s="6"/>
      <c r="K150" s="5"/>
      <c r="L150" s="5"/>
      <c r="M150" s="5"/>
      <c r="N150" s="5"/>
      <c r="O150" s="6"/>
      <c r="P150" s="6"/>
      <c r="Q150" s="6"/>
      <c r="R150" s="6"/>
      <c r="S150" s="6"/>
      <c r="T150" s="6"/>
    </row>
    <row r="151" ht="15.75" customHeight="1">
      <c r="A151" s="24"/>
      <c r="B151" s="45"/>
      <c r="C151" s="34"/>
      <c r="D151" s="75" t="s">
        <v>307</v>
      </c>
      <c r="E151" s="47">
        <v>0.0</v>
      </c>
      <c r="F151" s="47">
        <v>0.0</v>
      </c>
      <c r="G151" s="47">
        <v>0.35</v>
      </c>
      <c r="H151" s="30">
        <f t="shared" si="22"/>
        <v>0.1240548447</v>
      </c>
      <c r="I151" s="30">
        <f t="shared" si="23"/>
        <v>0.4740548447</v>
      </c>
      <c r="J151" s="5"/>
      <c r="K151" s="5"/>
      <c r="L151" s="5"/>
      <c r="M151" s="5"/>
      <c r="N151" s="5"/>
      <c r="O151" s="6"/>
      <c r="P151" s="6"/>
      <c r="Q151" s="6"/>
      <c r="R151" s="6"/>
      <c r="S151" s="6"/>
      <c r="T151" s="6"/>
    </row>
    <row r="152" ht="15.75" customHeight="1">
      <c r="A152" s="24"/>
      <c r="B152" s="45"/>
      <c r="C152" s="34"/>
      <c r="D152" s="75" t="s">
        <v>308</v>
      </c>
      <c r="E152" s="47">
        <v>0.0</v>
      </c>
      <c r="F152" s="47">
        <v>0.0</v>
      </c>
      <c r="G152" s="47">
        <v>0.35</v>
      </c>
      <c r="H152" s="30">
        <f t="shared" si="22"/>
        <v>0.1240548447</v>
      </c>
      <c r="I152" s="30">
        <f t="shared" si="23"/>
        <v>0.4740548447</v>
      </c>
      <c r="J152" s="6"/>
      <c r="K152" s="5"/>
      <c r="L152" s="5"/>
      <c r="M152" s="5"/>
      <c r="N152" s="5"/>
      <c r="O152" s="6"/>
      <c r="P152" s="6"/>
      <c r="Q152" s="6"/>
      <c r="R152" s="6"/>
      <c r="S152" s="6"/>
      <c r="T152" s="6"/>
    </row>
    <row r="153" ht="15.75" customHeight="1">
      <c r="A153" s="24"/>
      <c r="B153" s="45"/>
      <c r="C153" s="34"/>
      <c r="D153" s="75" t="s">
        <v>309</v>
      </c>
      <c r="E153" s="47">
        <v>0.0</v>
      </c>
      <c r="F153" s="47">
        <v>0.0</v>
      </c>
      <c r="G153" s="47">
        <v>1.0</v>
      </c>
      <c r="H153" s="30">
        <f t="shared" si="22"/>
        <v>0.3544424134</v>
      </c>
      <c r="I153" s="30">
        <f t="shared" si="23"/>
        <v>1.354442413</v>
      </c>
      <c r="J153" s="6"/>
      <c r="K153" s="5"/>
      <c r="L153" s="5"/>
      <c r="M153" s="5"/>
      <c r="N153" s="5"/>
      <c r="O153" s="6"/>
      <c r="P153" s="6"/>
      <c r="Q153" s="6"/>
      <c r="R153" s="6"/>
      <c r="S153" s="6"/>
      <c r="T153" s="6"/>
    </row>
    <row r="154" ht="15.75" customHeight="1">
      <c r="A154" s="24"/>
      <c r="B154" s="45"/>
      <c r="C154" s="34"/>
      <c r="D154" s="75" t="s">
        <v>310</v>
      </c>
      <c r="E154" s="47">
        <v>0.0</v>
      </c>
      <c r="F154" s="47">
        <v>0.0</v>
      </c>
      <c r="G154" s="47">
        <v>0.2</v>
      </c>
      <c r="H154" s="30">
        <f t="shared" si="22"/>
        <v>0.07088848268</v>
      </c>
      <c r="I154" s="30">
        <f t="shared" si="23"/>
        <v>0.2708884827</v>
      </c>
      <c r="J154" s="6"/>
      <c r="K154" s="5"/>
      <c r="L154" s="5"/>
      <c r="M154" s="5"/>
      <c r="N154" s="5"/>
      <c r="O154" s="6"/>
      <c r="P154" s="6"/>
      <c r="Q154" s="6"/>
      <c r="R154" s="6"/>
      <c r="S154" s="6"/>
      <c r="T154" s="6"/>
    </row>
    <row r="155" ht="15.75" customHeight="1">
      <c r="A155" s="24"/>
      <c r="B155" s="45"/>
      <c r="C155" s="15"/>
      <c r="D155" s="75" t="s">
        <v>311</v>
      </c>
      <c r="E155" s="47">
        <v>0.0</v>
      </c>
      <c r="F155" s="47">
        <v>0.0</v>
      </c>
      <c r="G155" s="47">
        <v>0.25</v>
      </c>
      <c r="H155" s="30">
        <f t="shared" si="22"/>
        <v>0.08861060334</v>
      </c>
      <c r="I155" s="30">
        <f t="shared" si="23"/>
        <v>0.3386106033</v>
      </c>
      <c r="J155" s="6"/>
      <c r="K155" s="5"/>
      <c r="L155" s="5"/>
      <c r="M155" s="5"/>
      <c r="N155" s="5"/>
      <c r="O155" s="6"/>
      <c r="P155" s="6"/>
      <c r="Q155" s="6"/>
      <c r="R155" s="6"/>
      <c r="S155" s="6"/>
      <c r="T155" s="6"/>
    </row>
    <row r="156" ht="15.75" customHeight="1">
      <c r="A156" s="24"/>
      <c r="B156" s="45"/>
      <c r="C156" s="54" t="s">
        <v>312</v>
      </c>
      <c r="D156" s="38" t="s">
        <v>313</v>
      </c>
      <c r="E156" s="47">
        <v>1.0</v>
      </c>
      <c r="F156" s="47">
        <v>0.0</v>
      </c>
      <c r="G156" s="47">
        <v>0.0</v>
      </c>
      <c r="H156" s="30">
        <f t="shared" si="22"/>
        <v>0.3544424134</v>
      </c>
      <c r="I156" s="30">
        <f t="shared" si="23"/>
        <v>1.354442413</v>
      </c>
      <c r="J156" s="6"/>
      <c r="K156" s="5"/>
      <c r="L156" s="5"/>
      <c r="M156" s="5"/>
      <c r="N156" s="5"/>
      <c r="O156" s="6"/>
      <c r="P156" s="6"/>
      <c r="Q156" s="6"/>
      <c r="R156" s="6"/>
      <c r="S156" s="6"/>
      <c r="T156" s="6"/>
    </row>
    <row r="157" ht="15.75" customHeight="1">
      <c r="A157" s="24"/>
      <c r="B157" s="45"/>
      <c r="C157" s="34"/>
      <c r="D157" s="38" t="s">
        <v>314</v>
      </c>
      <c r="E157" s="47">
        <v>0.0</v>
      </c>
      <c r="F157" s="47">
        <v>0.5</v>
      </c>
      <c r="G157" s="47">
        <v>0.0</v>
      </c>
      <c r="H157" s="30">
        <f t="shared" si="22"/>
        <v>0.1772212067</v>
      </c>
      <c r="I157" s="30">
        <f t="shared" si="23"/>
        <v>0.6772212067</v>
      </c>
      <c r="J157" s="6"/>
      <c r="K157" s="5"/>
      <c r="L157" s="5"/>
      <c r="M157" s="5"/>
      <c r="N157" s="5"/>
      <c r="O157" s="6"/>
      <c r="P157" s="6"/>
      <c r="Q157" s="6"/>
      <c r="R157" s="6"/>
      <c r="S157" s="6"/>
      <c r="T157" s="6"/>
    </row>
    <row r="158" ht="15.75" customHeight="1">
      <c r="A158" s="24"/>
      <c r="B158" s="45"/>
      <c r="C158" s="15"/>
      <c r="D158" s="38" t="s">
        <v>315</v>
      </c>
      <c r="E158" s="47">
        <v>0.0</v>
      </c>
      <c r="F158" s="47">
        <v>0.0</v>
      </c>
      <c r="G158" s="47">
        <v>0.5</v>
      </c>
      <c r="H158" s="30">
        <f t="shared" si="22"/>
        <v>0.1772212067</v>
      </c>
      <c r="I158" s="30">
        <f t="shared" si="23"/>
        <v>0.6772212067</v>
      </c>
      <c r="J158" s="6"/>
      <c r="K158" s="5"/>
      <c r="L158" s="5"/>
      <c r="M158" s="5"/>
      <c r="N158" s="5"/>
      <c r="O158" s="6"/>
      <c r="P158" s="6"/>
      <c r="Q158" s="6"/>
      <c r="R158" s="6"/>
      <c r="S158" s="6"/>
      <c r="T158" s="6"/>
    </row>
    <row r="159" ht="15.75" customHeight="1">
      <c r="A159" s="24"/>
      <c r="B159" s="45"/>
      <c r="C159" s="77" t="s">
        <v>316</v>
      </c>
      <c r="D159" s="38" t="s">
        <v>317</v>
      </c>
      <c r="E159" s="47">
        <v>0.2</v>
      </c>
      <c r="F159" s="47">
        <v>0.0</v>
      </c>
      <c r="G159" s="47">
        <v>0.0</v>
      </c>
      <c r="H159" s="30">
        <f t="shared" si="22"/>
        <v>0.07088848268</v>
      </c>
      <c r="I159" s="30">
        <f t="shared" si="23"/>
        <v>0.2708884827</v>
      </c>
      <c r="J159" s="6"/>
      <c r="K159" s="5"/>
      <c r="L159" s="5"/>
      <c r="M159" s="5"/>
      <c r="N159" s="5"/>
      <c r="O159" s="6"/>
      <c r="P159" s="6"/>
      <c r="Q159" s="6"/>
      <c r="R159" s="6"/>
      <c r="S159" s="6"/>
      <c r="T159" s="6"/>
    </row>
    <row r="160" ht="15.75" customHeight="1">
      <c r="A160" s="24"/>
      <c r="B160" s="45"/>
      <c r="C160" s="34"/>
      <c r="D160" s="38" t="s">
        <v>318</v>
      </c>
      <c r="E160" s="47">
        <v>0.0</v>
      </c>
      <c r="F160" s="47">
        <v>0.0</v>
      </c>
      <c r="G160" s="47">
        <v>0.0</v>
      </c>
      <c r="H160" s="30">
        <f t="shared" si="22"/>
        <v>0</v>
      </c>
      <c r="I160" s="30">
        <f t="shared" si="23"/>
        <v>0</v>
      </c>
      <c r="J160" s="6"/>
      <c r="K160" s="5"/>
      <c r="L160" s="5"/>
      <c r="M160" s="5"/>
      <c r="N160" s="5"/>
      <c r="O160" s="6"/>
      <c r="P160" s="6"/>
      <c r="Q160" s="6"/>
      <c r="R160" s="6"/>
      <c r="S160" s="6"/>
      <c r="T160" s="6"/>
    </row>
    <row r="161" ht="15.75" customHeight="1">
      <c r="A161" s="24"/>
      <c r="B161" s="45"/>
      <c r="C161" s="15"/>
      <c r="D161" s="38" t="s">
        <v>319</v>
      </c>
      <c r="E161" s="47">
        <v>0.0</v>
      </c>
      <c r="F161" s="47">
        <v>0.0</v>
      </c>
      <c r="G161" s="47">
        <v>0.65</v>
      </c>
      <c r="H161" s="30">
        <f t="shared" si="22"/>
        <v>0.2303875687</v>
      </c>
      <c r="I161" s="30">
        <f t="shared" si="23"/>
        <v>0.8803875687</v>
      </c>
      <c r="J161" s="6"/>
      <c r="K161" s="5"/>
      <c r="L161" s="5"/>
      <c r="M161" s="5"/>
      <c r="N161" s="5"/>
      <c r="O161" s="6"/>
      <c r="P161" s="6"/>
      <c r="Q161" s="6"/>
      <c r="R161" s="6"/>
      <c r="S161" s="6"/>
      <c r="T161" s="6"/>
    </row>
    <row r="162" ht="15.75" customHeight="1">
      <c r="A162" s="16" t="s">
        <v>320</v>
      </c>
      <c r="B162" s="18" t="s">
        <v>321</v>
      </c>
      <c r="C162" s="20"/>
      <c r="D162" s="22"/>
      <c r="E162" s="23">
        <f t="shared" ref="E162:I162" si="24">SUM(E163:E168)</f>
        <v>1</v>
      </c>
      <c r="F162" s="23">
        <f t="shared" si="24"/>
        <v>2.5</v>
      </c>
      <c r="G162" s="23">
        <f t="shared" si="24"/>
        <v>2.5</v>
      </c>
      <c r="H162" s="23">
        <f t="shared" si="24"/>
        <v>2.12665448</v>
      </c>
      <c r="I162" s="23">
        <f t="shared" si="24"/>
        <v>8.12665448</v>
      </c>
      <c r="J162" s="6"/>
      <c r="K162" s="5"/>
      <c r="L162" s="5"/>
      <c r="M162" s="5"/>
      <c r="N162" s="5"/>
      <c r="O162" s="6"/>
      <c r="P162" s="6"/>
      <c r="Q162" s="6"/>
      <c r="R162" s="6"/>
      <c r="S162" s="6"/>
      <c r="T162" s="6"/>
    </row>
    <row r="163" ht="15.75" customHeight="1">
      <c r="A163" s="24"/>
      <c r="B163" s="45"/>
      <c r="C163" s="54" t="s">
        <v>322</v>
      </c>
      <c r="D163" s="75" t="s">
        <v>323</v>
      </c>
      <c r="E163" s="47">
        <v>1.0</v>
      </c>
      <c r="F163" s="47">
        <v>0.0</v>
      </c>
      <c r="G163" s="47">
        <v>0.0</v>
      </c>
      <c r="H163" s="30">
        <f t="shared" ref="H163:H168" si="25">SUM(E163:G163)*L$163</f>
        <v>0.3544424134</v>
      </c>
      <c r="I163" s="30">
        <f t="shared" ref="I163:I168" si="26">SUM(E163:H163)</f>
        <v>1.354442413</v>
      </c>
      <c r="J163" s="6"/>
      <c r="K163" s="78" t="s">
        <v>324</v>
      </c>
      <c r="L163" s="78">
        <v>0.354442413377267</v>
      </c>
      <c r="M163" s="79"/>
      <c r="N163" s="78">
        <f>40/(SUM(E169:G169)-SUM(E4:G4))</f>
        <v>0.3544424134</v>
      </c>
      <c r="O163" s="6"/>
      <c r="P163" s="6"/>
      <c r="Q163" s="6"/>
      <c r="R163" s="6"/>
      <c r="S163" s="6"/>
      <c r="T163" s="6"/>
    </row>
    <row r="164" ht="15.75" customHeight="1">
      <c r="A164" s="24"/>
      <c r="B164" s="45"/>
      <c r="C164" s="34"/>
      <c r="D164" s="75" t="s">
        <v>325</v>
      </c>
      <c r="E164" s="47">
        <v>0.0</v>
      </c>
      <c r="F164" s="47">
        <v>1.0</v>
      </c>
      <c r="G164" s="47">
        <v>0.0</v>
      </c>
      <c r="H164" s="30">
        <f t="shared" si="25"/>
        <v>0.3544424134</v>
      </c>
      <c r="I164" s="30">
        <f t="shared" si="26"/>
        <v>1.354442413</v>
      </c>
      <c r="J164" s="6"/>
      <c r="K164" s="5"/>
      <c r="L164" s="5"/>
      <c r="M164" s="5"/>
      <c r="N164" s="5"/>
      <c r="O164" s="6"/>
      <c r="P164" s="6"/>
      <c r="Q164" s="6"/>
      <c r="R164" s="6"/>
      <c r="S164" s="6"/>
      <c r="T164" s="6"/>
    </row>
    <row r="165" ht="15.75" customHeight="1">
      <c r="A165" s="24"/>
      <c r="B165" s="45"/>
      <c r="C165" s="34"/>
      <c r="D165" s="75" t="s">
        <v>326</v>
      </c>
      <c r="E165" s="47">
        <v>0.0</v>
      </c>
      <c r="F165" s="47">
        <v>1.0</v>
      </c>
      <c r="G165" s="47">
        <v>0.0</v>
      </c>
      <c r="H165" s="30">
        <f t="shared" si="25"/>
        <v>0.3544424134</v>
      </c>
      <c r="I165" s="30">
        <f t="shared" si="26"/>
        <v>1.354442413</v>
      </c>
      <c r="J165" s="6"/>
      <c r="K165" s="79"/>
      <c r="L165" s="79"/>
      <c r="M165" s="79"/>
      <c r="N165" s="79"/>
      <c r="O165" s="6"/>
      <c r="P165" s="6"/>
      <c r="Q165" s="6"/>
      <c r="R165" s="6"/>
      <c r="S165" s="6"/>
      <c r="T165" s="6"/>
    </row>
    <row r="166" ht="15.75" customHeight="1">
      <c r="A166" s="24"/>
      <c r="B166" s="45"/>
      <c r="C166" s="34"/>
      <c r="D166" s="75" t="s">
        <v>327</v>
      </c>
      <c r="E166" s="47">
        <v>0.0</v>
      </c>
      <c r="F166" s="47">
        <v>0.0</v>
      </c>
      <c r="G166" s="47">
        <v>1.75</v>
      </c>
      <c r="H166" s="30">
        <f t="shared" si="25"/>
        <v>0.6202742234</v>
      </c>
      <c r="I166" s="30">
        <f t="shared" si="26"/>
        <v>2.370274223</v>
      </c>
      <c r="J166" s="6"/>
      <c r="K166" s="79"/>
      <c r="L166" s="79"/>
      <c r="M166" s="79"/>
      <c r="N166" s="79"/>
      <c r="O166" s="6"/>
      <c r="P166" s="6"/>
      <c r="Q166" s="6"/>
      <c r="R166" s="6"/>
      <c r="S166" s="6"/>
      <c r="T166" s="6"/>
    </row>
    <row r="167" ht="15.75" customHeight="1">
      <c r="A167" s="24"/>
      <c r="B167" s="45"/>
      <c r="C167" s="15"/>
      <c r="D167" s="75" t="s">
        <v>328</v>
      </c>
      <c r="E167" s="47">
        <v>0.0</v>
      </c>
      <c r="F167" s="47">
        <v>0.0</v>
      </c>
      <c r="G167" s="47">
        <v>0.75</v>
      </c>
      <c r="H167" s="30">
        <f t="shared" si="25"/>
        <v>0.26583181</v>
      </c>
      <c r="I167" s="30">
        <f t="shared" si="26"/>
        <v>1.01583181</v>
      </c>
      <c r="J167" s="6"/>
      <c r="K167" s="79"/>
      <c r="L167" s="79"/>
      <c r="M167" s="79"/>
      <c r="N167" s="79"/>
      <c r="O167" s="6"/>
      <c r="P167" s="6"/>
      <c r="Q167" s="6"/>
      <c r="R167" s="6"/>
      <c r="S167" s="6"/>
      <c r="T167" s="6"/>
    </row>
    <row r="168" ht="15.75" customHeight="1">
      <c r="A168" s="24"/>
      <c r="B168" s="45"/>
      <c r="C168" s="80"/>
      <c r="D168" s="75" t="s">
        <v>329</v>
      </c>
      <c r="E168" s="47">
        <v>0.0</v>
      </c>
      <c r="F168" s="47">
        <v>0.5</v>
      </c>
      <c r="G168" s="47">
        <v>0.0</v>
      </c>
      <c r="H168" s="30">
        <f t="shared" si="25"/>
        <v>0.1772212067</v>
      </c>
      <c r="I168" s="30">
        <f t="shared" si="26"/>
        <v>0.6772212067</v>
      </c>
      <c r="J168" s="6"/>
      <c r="K168" s="79"/>
      <c r="L168" s="79"/>
      <c r="M168" s="79"/>
      <c r="N168" s="79"/>
      <c r="O168" s="6"/>
      <c r="P168" s="6"/>
      <c r="Q168" s="6"/>
      <c r="R168" s="6"/>
      <c r="S168" s="6"/>
      <c r="T168" s="6"/>
    </row>
    <row r="169" ht="15.75" customHeight="1">
      <c r="A169" s="65"/>
      <c r="B169" s="66"/>
      <c r="C169" s="81"/>
      <c r="D169" s="82" t="s">
        <v>330</v>
      </c>
      <c r="E169" s="69">
        <f t="shared" ref="E169:I169" si="27">SUM(E4:E168)/2</f>
        <v>30.00331126</v>
      </c>
      <c r="F169" s="69">
        <f t="shared" si="27"/>
        <v>60</v>
      </c>
      <c r="G169" s="69">
        <f t="shared" si="27"/>
        <v>30</v>
      </c>
      <c r="H169" s="69">
        <f t="shared" si="27"/>
        <v>40</v>
      </c>
      <c r="I169" s="69">
        <f t="shared" si="27"/>
        <v>160.0033113</v>
      </c>
      <c r="J169" s="6"/>
      <c r="K169" s="5"/>
      <c r="L169" s="5"/>
      <c r="M169" s="5"/>
      <c r="N169" s="5"/>
      <c r="O169" s="6"/>
      <c r="P169" s="6"/>
      <c r="Q169" s="6"/>
      <c r="R169" s="6"/>
      <c r="S169" s="6"/>
      <c r="T169" s="6"/>
    </row>
    <row r="170" ht="15.75" customHeight="1">
      <c r="A170" s="65"/>
      <c r="B170" s="66"/>
      <c r="C170" s="83"/>
      <c r="D170" s="84" t="s">
        <v>331</v>
      </c>
      <c r="E170" s="69">
        <f t="shared" ref="E170:I170" si="28">E169/20</f>
        <v>1.500165563</v>
      </c>
      <c r="F170" s="69">
        <f t="shared" si="28"/>
        <v>3</v>
      </c>
      <c r="G170" s="69">
        <f t="shared" si="28"/>
        <v>1.5</v>
      </c>
      <c r="H170" s="69">
        <f t="shared" si="28"/>
        <v>2</v>
      </c>
      <c r="I170" s="69">
        <f t="shared" si="28"/>
        <v>8.000165563</v>
      </c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 ht="15.75" customHeight="1">
      <c r="A171" s="6"/>
      <c r="B171" s="85"/>
      <c r="C171" s="86"/>
      <c r="D171" s="87"/>
      <c r="E171" s="88"/>
      <c r="F171" s="88"/>
      <c r="G171" s="88"/>
      <c r="H171" s="88"/>
      <c r="I171" s="88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 ht="15.75" customHeight="1">
      <c r="A172" s="6"/>
      <c r="B172" s="85"/>
      <c r="C172" s="86"/>
      <c r="D172" s="87"/>
      <c r="E172" s="88"/>
      <c r="F172" s="88"/>
      <c r="G172" s="88"/>
      <c r="H172" s="88"/>
      <c r="I172" s="88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 ht="15.75" customHeight="1">
      <c r="A173" s="6"/>
      <c r="B173" s="85"/>
      <c r="C173" s="86"/>
      <c r="D173" s="87"/>
      <c r="E173" s="88"/>
      <c r="F173" s="88"/>
      <c r="G173" s="88"/>
      <c r="H173" s="88"/>
      <c r="I173" s="88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 ht="15.75" customHeight="1">
      <c r="A174" s="6"/>
      <c r="B174" s="85"/>
      <c r="C174" s="86"/>
      <c r="D174" s="87"/>
      <c r="E174" s="88"/>
      <c r="F174" s="88"/>
      <c r="G174" s="88"/>
      <c r="H174" s="88"/>
      <c r="I174" s="88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 ht="15.75" customHeight="1">
      <c r="A175" s="6"/>
      <c r="B175" s="85"/>
      <c r="C175" s="86"/>
      <c r="D175" s="87"/>
      <c r="E175" s="88"/>
      <c r="F175" s="88"/>
      <c r="G175" s="88"/>
      <c r="H175" s="88"/>
      <c r="I175" s="88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 ht="15.75" customHeight="1">
      <c r="A176" s="6"/>
      <c r="B176" s="85"/>
      <c r="C176" s="86"/>
      <c r="D176" s="87"/>
      <c r="E176" s="88"/>
      <c r="F176" s="88"/>
      <c r="G176" s="88"/>
      <c r="H176" s="88"/>
      <c r="I176" s="88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 ht="15.75" customHeight="1">
      <c r="A177" s="6"/>
      <c r="B177" s="85"/>
      <c r="C177" s="86"/>
      <c r="D177" s="87"/>
      <c r="E177" s="88"/>
      <c r="F177" s="88"/>
      <c r="G177" s="88"/>
      <c r="H177" s="88"/>
      <c r="I177" s="88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 ht="15.75" customHeight="1">
      <c r="A178" s="6"/>
      <c r="B178" s="85"/>
      <c r="C178" s="86"/>
      <c r="D178" s="87"/>
      <c r="E178" s="88"/>
      <c r="F178" s="88"/>
      <c r="G178" s="88"/>
      <c r="H178" s="88"/>
      <c r="I178" s="88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 ht="15.75" customHeight="1">
      <c r="A179" s="6"/>
      <c r="B179" s="85"/>
      <c r="C179" s="86"/>
      <c r="D179" s="87"/>
      <c r="E179" s="88"/>
      <c r="F179" s="88"/>
      <c r="G179" s="88"/>
      <c r="H179" s="88"/>
      <c r="I179" s="88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 ht="15.75" customHeight="1">
      <c r="A180" s="6"/>
      <c r="B180" s="85"/>
      <c r="C180" s="86"/>
      <c r="D180" s="87"/>
      <c r="E180" s="88"/>
      <c r="F180" s="88"/>
      <c r="G180" s="88"/>
      <c r="H180" s="88"/>
      <c r="I180" s="88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 ht="15.75" customHeight="1">
      <c r="A181" s="6"/>
      <c r="B181" s="85"/>
      <c r="C181" s="86"/>
      <c r="D181" s="87"/>
      <c r="E181" s="88"/>
      <c r="F181" s="88"/>
      <c r="G181" s="88"/>
      <c r="H181" s="88"/>
      <c r="I181" s="88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 ht="15.75" customHeight="1">
      <c r="A182" s="6"/>
      <c r="B182" s="85"/>
      <c r="C182" s="86"/>
      <c r="D182" s="87"/>
      <c r="E182" s="88"/>
      <c r="F182" s="88"/>
      <c r="G182" s="88"/>
      <c r="H182" s="88"/>
      <c r="I182" s="88"/>
      <c r="J182" s="6"/>
      <c r="K182" s="5"/>
      <c r="L182" s="5"/>
      <c r="M182" s="5"/>
      <c r="N182" s="5"/>
      <c r="O182" s="6"/>
      <c r="P182" s="6"/>
      <c r="Q182" s="6"/>
      <c r="R182" s="6"/>
      <c r="S182" s="6"/>
      <c r="T182" s="6"/>
    </row>
    <row r="183" ht="15.75" customHeight="1">
      <c r="A183" s="6"/>
      <c r="B183" s="85"/>
      <c r="C183" s="86"/>
      <c r="D183" s="87"/>
      <c r="E183" s="88"/>
      <c r="F183" s="88"/>
      <c r="G183" s="88"/>
      <c r="H183" s="88"/>
      <c r="I183" s="88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 ht="15.75" customHeight="1">
      <c r="A184" s="6"/>
      <c r="B184" s="85"/>
      <c r="C184" s="86"/>
      <c r="D184" s="87"/>
      <c r="E184" s="88"/>
      <c r="F184" s="88"/>
      <c r="G184" s="88"/>
      <c r="H184" s="88" t="s">
        <v>332</v>
      </c>
      <c r="I184" s="88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 ht="15.75" customHeight="1">
      <c r="A185" s="6"/>
      <c r="B185" s="85"/>
      <c r="C185" s="86"/>
      <c r="D185" s="87"/>
      <c r="E185" s="88"/>
      <c r="F185" s="88"/>
      <c r="G185" s="88"/>
      <c r="H185" s="88"/>
      <c r="I185" s="88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 ht="15.75" customHeight="1">
      <c r="A186" s="6"/>
      <c r="B186" s="85"/>
      <c r="C186" s="86"/>
      <c r="D186" s="87"/>
      <c r="E186" s="88"/>
      <c r="F186" s="88"/>
      <c r="G186" s="88"/>
      <c r="H186" s="88"/>
      <c r="I186" s="88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 ht="15.75" customHeight="1">
      <c r="A187" s="6"/>
      <c r="B187" s="85"/>
      <c r="C187" s="86"/>
      <c r="D187" s="87"/>
      <c r="E187" s="88"/>
      <c r="F187" s="88"/>
      <c r="G187" s="88"/>
      <c r="H187" s="88"/>
      <c r="I187" s="88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 ht="15.75" customHeight="1">
      <c r="A188" s="6"/>
      <c r="B188" s="85"/>
      <c r="C188" s="86"/>
      <c r="D188" s="87"/>
      <c r="E188" s="88"/>
      <c r="F188" s="88"/>
      <c r="G188" s="88"/>
      <c r="H188" s="88"/>
      <c r="I188" s="88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 ht="15.75" customHeight="1">
      <c r="A189" s="6"/>
      <c r="B189" s="85"/>
      <c r="C189" s="86"/>
      <c r="D189" s="87"/>
      <c r="E189" s="88"/>
      <c r="F189" s="88"/>
      <c r="G189" s="88"/>
      <c r="H189" s="88"/>
      <c r="I189" s="88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 ht="15.75" customHeight="1">
      <c r="A190" s="6"/>
      <c r="B190" s="85"/>
      <c r="C190" s="86"/>
      <c r="D190" s="87"/>
      <c r="E190" s="88"/>
      <c r="F190" s="88"/>
      <c r="G190" s="88"/>
      <c r="H190" s="88"/>
      <c r="I190" s="88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 ht="15.75" customHeight="1">
      <c r="A191" s="6"/>
      <c r="B191" s="85"/>
      <c r="C191" s="86"/>
      <c r="D191" s="87"/>
      <c r="E191" s="88"/>
      <c r="F191" s="88"/>
      <c r="G191" s="88"/>
      <c r="H191" s="88"/>
      <c r="I191" s="88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 ht="15.75" customHeight="1">
      <c r="A192" s="6"/>
      <c r="B192" s="85"/>
      <c r="C192" s="86"/>
      <c r="D192" s="87"/>
      <c r="E192" s="88"/>
      <c r="F192" s="88"/>
      <c r="G192" s="88"/>
      <c r="H192" s="88"/>
      <c r="I192" s="88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 ht="15.75" customHeight="1">
      <c r="A193" s="6"/>
      <c r="B193" s="85"/>
      <c r="C193" s="86"/>
      <c r="D193" s="87"/>
      <c r="E193" s="88"/>
      <c r="F193" s="88"/>
      <c r="G193" s="88"/>
      <c r="H193" s="88"/>
      <c r="I193" s="88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 ht="15.75" customHeight="1">
      <c r="A194" s="6"/>
      <c r="B194" s="85"/>
      <c r="C194" s="86"/>
      <c r="D194" s="87"/>
      <c r="E194" s="88"/>
      <c r="F194" s="88"/>
      <c r="G194" s="88"/>
      <c r="H194" s="88"/>
      <c r="I194" s="88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 ht="15.75" customHeight="1">
      <c r="A195" s="6"/>
      <c r="B195" s="85"/>
      <c r="C195" s="86"/>
      <c r="D195" s="87"/>
      <c r="E195" s="88"/>
      <c r="F195" s="88"/>
      <c r="G195" s="88"/>
      <c r="H195" s="88"/>
      <c r="I195" s="88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 ht="15.75" customHeight="1">
      <c r="A196" s="6"/>
      <c r="B196" s="85"/>
      <c r="C196" s="86"/>
      <c r="D196" s="87"/>
      <c r="E196" s="88"/>
      <c r="F196" s="88"/>
      <c r="G196" s="88"/>
      <c r="H196" s="88"/>
      <c r="I196" s="88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 ht="15.75" customHeight="1">
      <c r="A197" s="6"/>
      <c r="B197" s="85"/>
      <c r="C197" s="86"/>
      <c r="D197" s="87"/>
      <c r="E197" s="88"/>
      <c r="F197" s="88"/>
      <c r="G197" s="88"/>
      <c r="H197" s="88"/>
      <c r="I197" s="88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 ht="15.75" customHeight="1">
      <c r="A198" s="6"/>
      <c r="B198" s="85"/>
      <c r="C198" s="86"/>
      <c r="D198" s="87"/>
      <c r="E198" s="88"/>
      <c r="F198" s="88"/>
      <c r="G198" s="88"/>
      <c r="H198" s="88"/>
      <c r="I198" s="88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 ht="15.75" customHeight="1">
      <c r="A199" s="6"/>
      <c r="B199" s="85"/>
      <c r="C199" s="86"/>
      <c r="D199" s="87"/>
      <c r="E199" s="88"/>
      <c r="F199" s="88"/>
      <c r="G199" s="88"/>
      <c r="H199" s="88"/>
      <c r="I199" s="88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 ht="15.75" customHeight="1">
      <c r="A200" s="6"/>
      <c r="B200" s="85"/>
      <c r="C200" s="86"/>
      <c r="D200" s="87"/>
      <c r="E200" s="88"/>
      <c r="F200" s="88"/>
      <c r="G200" s="88"/>
      <c r="H200" s="88"/>
      <c r="I200" s="88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 ht="15.75" customHeight="1">
      <c r="A201" s="6"/>
      <c r="B201" s="85"/>
      <c r="C201" s="86"/>
      <c r="D201" s="87"/>
      <c r="E201" s="88"/>
      <c r="F201" s="88"/>
      <c r="G201" s="88"/>
      <c r="H201" s="88"/>
      <c r="I201" s="88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 ht="15.75" customHeight="1">
      <c r="A202" s="6"/>
      <c r="B202" s="85"/>
      <c r="C202" s="86"/>
      <c r="D202" s="87"/>
      <c r="E202" s="88"/>
      <c r="F202" s="88"/>
      <c r="G202" s="88"/>
      <c r="H202" s="88"/>
      <c r="I202" s="88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 ht="15.75" customHeight="1">
      <c r="A203" s="6"/>
      <c r="B203" s="85"/>
      <c r="C203" s="86"/>
      <c r="D203" s="87"/>
      <c r="E203" s="88"/>
      <c r="F203" s="88"/>
      <c r="G203" s="88"/>
      <c r="H203" s="88"/>
      <c r="I203" s="88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 ht="15.75" customHeight="1">
      <c r="A204" s="6"/>
      <c r="B204" s="85"/>
      <c r="C204" s="86"/>
      <c r="D204" s="87"/>
      <c r="E204" s="88"/>
      <c r="F204" s="88"/>
      <c r="G204" s="88"/>
      <c r="H204" s="88"/>
      <c r="I204" s="88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 ht="15.75" customHeight="1">
      <c r="A205" s="6"/>
      <c r="B205" s="85"/>
      <c r="C205" s="86"/>
      <c r="D205" s="87"/>
      <c r="E205" s="88"/>
      <c r="F205" s="88"/>
      <c r="G205" s="88"/>
      <c r="H205" s="88"/>
      <c r="I205" s="88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 ht="15.75" customHeight="1">
      <c r="A206" s="6"/>
      <c r="B206" s="85"/>
      <c r="C206" s="86"/>
      <c r="D206" s="87"/>
      <c r="E206" s="88"/>
      <c r="F206" s="88"/>
      <c r="G206" s="88"/>
      <c r="H206" s="88"/>
      <c r="I206" s="88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 ht="15.75" customHeight="1">
      <c r="A207" s="6"/>
      <c r="B207" s="85"/>
      <c r="C207" s="86"/>
      <c r="D207" s="87"/>
      <c r="E207" s="88"/>
      <c r="F207" s="88"/>
      <c r="G207" s="88"/>
      <c r="H207" s="88"/>
      <c r="I207" s="88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 ht="15.75" customHeight="1">
      <c r="A208" s="6"/>
      <c r="B208" s="85"/>
      <c r="C208" s="86"/>
      <c r="D208" s="87"/>
      <c r="E208" s="88"/>
      <c r="F208" s="88"/>
      <c r="G208" s="88"/>
      <c r="H208" s="88"/>
      <c r="I208" s="88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 ht="15.75" customHeight="1">
      <c r="A209" s="6"/>
      <c r="B209" s="85"/>
      <c r="C209" s="86"/>
      <c r="D209" s="87"/>
      <c r="E209" s="88"/>
      <c r="F209" s="88"/>
      <c r="G209" s="88"/>
      <c r="H209" s="88"/>
      <c r="I209" s="88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 ht="15.75" customHeight="1">
      <c r="A210" s="6"/>
      <c r="B210" s="85"/>
      <c r="C210" s="86"/>
      <c r="D210" s="87"/>
      <c r="E210" s="88"/>
      <c r="F210" s="88"/>
      <c r="G210" s="88"/>
      <c r="H210" s="88"/>
      <c r="I210" s="88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 ht="15.75" customHeight="1">
      <c r="A211" s="6"/>
      <c r="B211" s="85"/>
      <c r="C211" s="86"/>
      <c r="D211" s="87"/>
      <c r="E211" s="88"/>
      <c r="F211" s="88"/>
      <c r="G211" s="88"/>
      <c r="H211" s="88"/>
      <c r="I211" s="88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 ht="15.75" customHeight="1">
      <c r="A212" s="6"/>
      <c r="B212" s="85"/>
      <c r="C212" s="86"/>
      <c r="D212" s="87"/>
      <c r="E212" s="88"/>
      <c r="F212" s="88"/>
      <c r="G212" s="88"/>
      <c r="H212" s="88"/>
      <c r="I212" s="88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 ht="15.75" customHeight="1">
      <c r="A213" s="6"/>
      <c r="B213" s="85"/>
      <c r="C213" s="86"/>
      <c r="D213" s="87"/>
      <c r="E213" s="88"/>
      <c r="F213" s="88"/>
      <c r="G213" s="88"/>
      <c r="H213" s="88"/>
      <c r="I213" s="88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 ht="15.75" customHeight="1">
      <c r="A214" s="6"/>
      <c r="B214" s="85"/>
      <c r="C214" s="86"/>
      <c r="D214" s="87"/>
      <c r="E214" s="88"/>
      <c r="F214" s="88"/>
      <c r="G214" s="88"/>
      <c r="H214" s="88"/>
      <c r="I214" s="88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 ht="15.75" customHeight="1">
      <c r="A215" s="6"/>
      <c r="B215" s="85"/>
      <c r="C215" s="86"/>
      <c r="D215" s="87"/>
      <c r="E215" s="88"/>
      <c r="F215" s="88"/>
      <c r="G215" s="88"/>
      <c r="H215" s="88"/>
      <c r="I215" s="88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 ht="15.75" customHeight="1">
      <c r="A216" s="6"/>
      <c r="B216" s="85"/>
      <c r="C216" s="86"/>
      <c r="D216" s="87"/>
      <c r="E216" s="88"/>
      <c r="F216" s="88"/>
      <c r="G216" s="88"/>
      <c r="H216" s="88"/>
      <c r="I216" s="88"/>
      <c r="J216" s="6"/>
      <c r="K216" s="5"/>
      <c r="L216" s="5"/>
      <c r="M216" s="5"/>
      <c r="N216" s="5"/>
      <c r="O216" s="6"/>
      <c r="P216" s="6"/>
      <c r="Q216" s="6"/>
      <c r="R216" s="6"/>
      <c r="S216" s="6"/>
      <c r="T216" s="6"/>
    </row>
    <row r="217" ht="15.75" customHeight="1">
      <c r="A217" s="6"/>
      <c r="B217" s="85"/>
      <c r="C217" s="86"/>
      <c r="D217" s="87"/>
      <c r="E217" s="88"/>
      <c r="F217" s="88"/>
      <c r="G217" s="88"/>
      <c r="H217" s="88"/>
      <c r="I217" s="88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 ht="15.75" customHeight="1">
      <c r="A218" s="6"/>
      <c r="B218" s="85"/>
      <c r="C218" s="86"/>
      <c r="D218" s="87"/>
      <c r="E218" s="88"/>
      <c r="F218" s="88"/>
      <c r="G218" s="88"/>
      <c r="H218" s="88"/>
      <c r="I218" s="88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 ht="15.75" customHeight="1">
      <c r="A219" s="6"/>
      <c r="B219" s="85"/>
      <c r="C219" s="86"/>
      <c r="D219" s="87"/>
      <c r="E219" s="88"/>
      <c r="F219" s="88"/>
      <c r="G219" s="88"/>
      <c r="H219" s="88"/>
      <c r="I219" s="88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 ht="15.75" customHeight="1">
      <c r="A220" s="6"/>
      <c r="B220" s="85"/>
      <c r="C220" s="86"/>
      <c r="D220" s="87"/>
      <c r="E220" s="88"/>
      <c r="F220" s="88"/>
      <c r="G220" s="88"/>
      <c r="H220" s="88"/>
      <c r="I220" s="88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 ht="15.75" customHeight="1">
      <c r="A221" s="6"/>
      <c r="B221" s="85"/>
      <c r="C221" s="86"/>
      <c r="D221" s="87"/>
      <c r="E221" s="88"/>
      <c r="F221" s="88"/>
      <c r="G221" s="88"/>
      <c r="H221" s="88"/>
      <c r="I221" s="88"/>
      <c r="J221" s="6"/>
      <c r="K221" s="5"/>
      <c r="L221" s="5"/>
      <c r="M221" s="5"/>
      <c r="N221" s="5"/>
      <c r="O221" s="6"/>
      <c r="P221" s="6"/>
      <c r="Q221" s="6"/>
      <c r="R221" s="6"/>
      <c r="S221" s="6"/>
      <c r="T221" s="6"/>
    </row>
    <row r="222" ht="15.75" customHeight="1">
      <c r="A222" s="6"/>
      <c r="B222" s="85"/>
      <c r="C222" s="86"/>
      <c r="D222" s="87"/>
      <c r="E222" s="88"/>
      <c r="F222" s="88"/>
      <c r="G222" s="88"/>
      <c r="H222" s="88"/>
      <c r="I222" s="88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 ht="15.75" customHeight="1">
      <c r="A223" s="6"/>
      <c r="B223" s="85"/>
      <c r="C223" s="86"/>
      <c r="D223" s="87"/>
      <c r="E223" s="88"/>
      <c r="F223" s="88"/>
      <c r="G223" s="88"/>
      <c r="H223" s="88"/>
      <c r="I223" s="88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 ht="15.75" customHeight="1">
      <c r="A224" s="6"/>
      <c r="B224" s="85"/>
      <c r="C224" s="86"/>
      <c r="D224" s="87"/>
      <c r="E224" s="88"/>
      <c r="F224" s="88"/>
      <c r="G224" s="88"/>
      <c r="H224" s="88"/>
      <c r="I224" s="88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 ht="15.75" customHeight="1">
      <c r="A225" s="6"/>
      <c r="B225" s="85"/>
      <c r="C225" s="86"/>
      <c r="D225" s="87"/>
      <c r="E225" s="88"/>
      <c r="F225" s="88"/>
      <c r="G225" s="88"/>
      <c r="H225" s="88"/>
      <c r="I225" s="88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 ht="15.75" customHeight="1">
      <c r="A226" s="6"/>
      <c r="B226" s="85"/>
      <c r="C226" s="86"/>
      <c r="D226" s="87"/>
      <c r="E226" s="88"/>
      <c r="F226" s="88"/>
      <c r="G226" s="88"/>
      <c r="H226" s="88"/>
      <c r="I226" s="88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 ht="15.75" customHeight="1">
      <c r="A227" s="6"/>
      <c r="B227" s="85"/>
      <c r="C227" s="86"/>
      <c r="D227" s="87"/>
      <c r="E227" s="88"/>
      <c r="F227" s="88"/>
      <c r="G227" s="88"/>
      <c r="H227" s="88"/>
      <c r="I227" s="88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 ht="15.75" customHeight="1">
      <c r="A228" s="6"/>
      <c r="B228" s="85"/>
      <c r="C228" s="86"/>
      <c r="D228" s="87"/>
      <c r="E228" s="88"/>
      <c r="F228" s="88"/>
      <c r="G228" s="88"/>
      <c r="H228" s="88"/>
      <c r="I228" s="88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 ht="15.75" customHeight="1">
      <c r="A229" s="6"/>
      <c r="B229" s="85"/>
      <c r="C229" s="86"/>
      <c r="D229" s="87"/>
      <c r="E229" s="88"/>
      <c r="F229" s="88"/>
      <c r="G229" s="88"/>
      <c r="H229" s="88"/>
      <c r="I229" s="88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 ht="15.75" customHeight="1">
      <c r="A230" s="6"/>
      <c r="B230" s="85"/>
      <c r="C230" s="86"/>
      <c r="D230" s="87"/>
      <c r="E230" s="88"/>
      <c r="F230" s="88"/>
      <c r="G230" s="88"/>
      <c r="H230" s="88"/>
      <c r="I230" s="88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 ht="15.75" customHeight="1">
      <c r="A231" s="6"/>
      <c r="B231" s="85"/>
      <c r="C231" s="86"/>
      <c r="D231" s="87"/>
      <c r="E231" s="88"/>
      <c r="F231" s="88"/>
      <c r="G231" s="88"/>
      <c r="H231" s="88"/>
      <c r="I231" s="88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 ht="15.75" customHeight="1">
      <c r="A232" s="6"/>
      <c r="B232" s="85"/>
      <c r="C232" s="86"/>
      <c r="D232" s="87"/>
      <c r="E232" s="88"/>
      <c r="F232" s="88"/>
      <c r="G232" s="88"/>
      <c r="H232" s="88"/>
      <c r="I232" s="88"/>
      <c r="J232" s="6"/>
      <c r="K232" s="5"/>
      <c r="L232" s="5"/>
      <c r="M232" s="5"/>
      <c r="N232" s="5"/>
      <c r="O232" s="6"/>
      <c r="P232" s="6"/>
      <c r="Q232" s="6"/>
      <c r="R232" s="6"/>
      <c r="S232" s="6"/>
      <c r="T232" s="6"/>
    </row>
    <row r="233" ht="15.75" customHeight="1">
      <c r="A233" s="6"/>
      <c r="B233" s="85"/>
      <c r="C233" s="86"/>
      <c r="D233" s="87"/>
      <c r="E233" s="88"/>
      <c r="F233" s="88"/>
      <c r="G233" s="88"/>
      <c r="H233" s="88"/>
      <c r="I233" s="88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 ht="15.75" customHeight="1">
      <c r="A234" s="6"/>
      <c r="B234" s="85"/>
      <c r="C234" s="86"/>
      <c r="D234" s="87"/>
      <c r="E234" s="88"/>
      <c r="F234" s="88"/>
      <c r="G234" s="88"/>
      <c r="H234" s="88"/>
      <c r="I234" s="88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 ht="15.75" customHeight="1">
      <c r="A235" s="6"/>
      <c r="B235" s="85"/>
      <c r="C235" s="86"/>
      <c r="D235" s="87"/>
      <c r="E235" s="88"/>
      <c r="F235" s="88"/>
      <c r="G235" s="88"/>
      <c r="H235" s="88"/>
      <c r="I235" s="88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 ht="15.75" customHeight="1">
      <c r="A236" s="6"/>
      <c r="B236" s="85"/>
      <c r="C236" s="86"/>
      <c r="D236" s="87"/>
      <c r="E236" s="88"/>
      <c r="F236" s="88"/>
      <c r="G236" s="88"/>
      <c r="H236" s="88"/>
      <c r="I236" s="88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 ht="15.75" customHeight="1">
      <c r="A237" s="6"/>
      <c r="B237" s="85"/>
      <c r="C237" s="86"/>
      <c r="D237" s="87"/>
      <c r="E237" s="88"/>
      <c r="F237" s="88"/>
      <c r="G237" s="88"/>
      <c r="H237" s="88"/>
      <c r="I237" s="88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 ht="15.75" customHeight="1">
      <c r="A238" s="6"/>
      <c r="B238" s="85"/>
      <c r="C238" s="86"/>
      <c r="D238" s="87"/>
      <c r="E238" s="88"/>
      <c r="F238" s="88"/>
      <c r="G238" s="88"/>
      <c r="H238" s="88"/>
      <c r="I238" s="88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 ht="15.75" customHeight="1">
      <c r="A239" s="6"/>
      <c r="B239" s="85"/>
      <c r="C239" s="86"/>
      <c r="D239" s="87"/>
      <c r="E239" s="88"/>
      <c r="F239" s="88"/>
      <c r="G239" s="88"/>
      <c r="H239" s="88"/>
      <c r="I239" s="88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 ht="15.75" customHeight="1">
      <c r="A240" s="6"/>
      <c r="B240" s="85"/>
      <c r="C240" s="86"/>
      <c r="D240" s="87"/>
      <c r="E240" s="88"/>
      <c r="F240" s="88"/>
      <c r="G240" s="88"/>
      <c r="H240" s="88"/>
      <c r="I240" s="88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 ht="15.75" customHeight="1">
      <c r="A241" s="6"/>
      <c r="B241" s="85"/>
      <c r="C241" s="86"/>
      <c r="D241" s="87"/>
      <c r="E241" s="88"/>
      <c r="F241" s="88"/>
      <c r="G241" s="88"/>
      <c r="H241" s="88"/>
      <c r="I241" s="88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 ht="15.75" customHeight="1">
      <c r="A242" s="6"/>
      <c r="B242" s="85"/>
      <c r="C242" s="86"/>
      <c r="D242" s="87"/>
      <c r="E242" s="88"/>
      <c r="F242" s="88"/>
      <c r="G242" s="88"/>
      <c r="H242" s="88"/>
      <c r="I242" s="88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 ht="15.75" customHeight="1">
      <c r="A243" s="6"/>
      <c r="B243" s="85"/>
      <c r="C243" s="86"/>
      <c r="D243" s="87"/>
      <c r="E243" s="88"/>
      <c r="F243" s="88"/>
      <c r="G243" s="88"/>
      <c r="H243" s="88"/>
      <c r="I243" s="88"/>
      <c r="J243" s="6"/>
      <c r="K243" s="5"/>
      <c r="L243" s="5"/>
      <c r="M243" s="5"/>
      <c r="N243" s="5"/>
      <c r="O243" s="6"/>
      <c r="P243" s="6"/>
      <c r="Q243" s="6"/>
      <c r="R243" s="6"/>
      <c r="S243" s="6"/>
      <c r="T243" s="6"/>
    </row>
    <row r="244" ht="15.75" customHeight="1">
      <c r="A244" s="6"/>
      <c r="B244" s="85"/>
      <c r="C244" s="86"/>
      <c r="D244" s="87"/>
      <c r="E244" s="88"/>
      <c r="F244" s="88"/>
      <c r="G244" s="88"/>
      <c r="H244" s="88"/>
      <c r="I244" s="88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 ht="15.75" customHeight="1">
      <c r="A245" s="6"/>
      <c r="B245" s="85"/>
      <c r="C245" s="86"/>
      <c r="D245" s="87"/>
      <c r="E245" s="88"/>
      <c r="F245" s="88"/>
      <c r="G245" s="88"/>
      <c r="H245" s="88"/>
      <c r="I245" s="88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 ht="15.75" customHeight="1">
      <c r="A246" s="6"/>
      <c r="B246" s="85"/>
      <c r="C246" s="86"/>
      <c r="D246" s="87"/>
      <c r="E246" s="88"/>
      <c r="F246" s="88"/>
      <c r="G246" s="88"/>
      <c r="H246" s="88"/>
      <c r="I246" s="88"/>
      <c r="J246" s="6"/>
      <c r="K246" s="5"/>
      <c r="L246" s="5"/>
      <c r="M246" s="5"/>
      <c r="N246" s="5"/>
      <c r="O246" s="6"/>
      <c r="P246" s="6"/>
      <c r="Q246" s="6"/>
      <c r="R246" s="6"/>
      <c r="S246" s="6"/>
      <c r="T246" s="6"/>
    </row>
    <row r="247" ht="15.75" customHeight="1">
      <c r="A247" s="6"/>
      <c r="B247" s="85"/>
      <c r="C247" s="86"/>
      <c r="D247" s="87"/>
      <c r="E247" s="88"/>
      <c r="F247" s="88"/>
      <c r="G247" s="88"/>
      <c r="H247" s="88"/>
      <c r="I247" s="88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 ht="15.75" customHeight="1">
      <c r="A248" s="6"/>
      <c r="B248" s="85"/>
      <c r="C248" s="86"/>
      <c r="D248" s="87"/>
      <c r="E248" s="88"/>
      <c r="F248" s="88"/>
      <c r="G248" s="88"/>
      <c r="H248" s="88"/>
      <c r="I248" s="88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 ht="15.75" customHeight="1">
      <c r="A249" s="6"/>
      <c r="B249" s="85"/>
      <c r="C249" s="86"/>
      <c r="D249" s="87"/>
      <c r="E249" s="88"/>
      <c r="F249" s="88"/>
      <c r="G249" s="88"/>
      <c r="H249" s="88"/>
      <c r="I249" s="88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 ht="15.75" customHeight="1">
      <c r="A250" s="6"/>
      <c r="B250" s="85"/>
      <c r="C250" s="86"/>
      <c r="D250" s="87"/>
      <c r="E250" s="88"/>
      <c r="F250" s="88"/>
      <c r="G250" s="88"/>
      <c r="H250" s="88"/>
      <c r="I250" s="88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 ht="15.75" customHeight="1">
      <c r="A251" s="6"/>
      <c r="B251" s="85"/>
      <c r="C251" s="86"/>
      <c r="D251" s="87"/>
      <c r="E251" s="88"/>
      <c r="F251" s="88"/>
      <c r="G251" s="88"/>
      <c r="H251" s="88"/>
      <c r="I251" s="88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 ht="15.75" customHeight="1">
      <c r="A252" s="6"/>
      <c r="B252" s="85"/>
      <c r="C252" s="86"/>
      <c r="D252" s="87"/>
      <c r="E252" s="88"/>
      <c r="F252" s="88"/>
      <c r="G252" s="88"/>
      <c r="H252" s="88"/>
      <c r="I252" s="88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 ht="15.75" customHeight="1">
      <c r="A253" s="6"/>
      <c r="B253" s="85"/>
      <c r="C253" s="86"/>
      <c r="D253" s="87"/>
      <c r="E253" s="88"/>
      <c r="F253" s="88"/>
      <c r="G253" s="88"/>
      <c r="H253" s="88"/>
      <c r="I253" s="88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 ht="15.75" customHeight="1">
      <c r="A254" s="6"/>
      <c r="B254" s="85"/>
      <c r="C254" s="86"/>
      <c r="D254" s="87"/>
      <c r="E254" s="88"/>
      <c r="F254" s="88"/>
      <c r="G254" s="88"/>
      <c r="H254" s="88"/>
      <c r="I254" s="88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 ht="15.75" customHeight="1">
      <c r="A255" s="6"/>
      <c r="B255" s="85"/>
      <c r="C255" s="86"/>
      <c r="D255" s="87"/>
      <c r="E255" s="88"/>
      <c r="F255" s="88"/>
      <c r="G255" s="88"/>
      <c r="H255" s="88"/>
      <c r="I255" s="88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 ht="15.75" customHeight="1">
      <c r="A256" s="6"/>
      <c r="B256" s="85"/>
      <c r="C256" s="86"/>
      <c r="D256" s="87"/>
      <c r="E256" s="88"/>
      <c r="F256" s="88"/>
      <c r="G256" s="88"/>
      <c r="H256" s="88"/>
      <c r="I256" s="88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 ht="15.75" customHeight="1">
      <c r="A257" s="6"/>
      <c r="B257" s="85"/>
      <c r="C257" s="86"/>
      <c r="D257" s="87"/>
      <c r="E257" s="88"/>
      <c r="F257" s="88"/>
      <c r="G257" s="88"/>
      <c r="H257" s="88"/>
      <c r="I257" s="88"/>
      <c r="J257" s="6"/>
      <c r="K257" s="5"/>
      <c r="L257" s="5"/>
      <c r="M257" s="5"/>
      <c r="N257" s="5"/>
      <c r="O257" s="6"/>
      <c r="P257" s="6"/>
      <c r="Q257" s="6"/>
      <c r="R257" s="6"/>
      <c r="S257" s="6"/>
      <c r="T257" s="6"/>
    </row>
    <row r="258" ht="15.75" customHeight="1">
      <c r="A258" s="6"/>
      <c r="B258" s="85"/>
      <c r="C258" s="86"/>
      <c r="D258" s="87"/>
      <c r="E258" s="88"/>
      <c r="F258" s="88"/>
      <c r="G258" s="88"/>
      <c r="H258" s="88"/>
      <c r="I258" s="88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 ht="15.75" customHeight="1">
      <c r="A259" s="6"/>
      <c r="B259" s="85"/>
      <c r="C259" s="86"/>
      <c r="D259" s="87"/>
      <c r="E259" s="88"/>
      <c r="F259" s="88"/>
      <c r="G259" s="88"/>
      <c r="H259" s="88"/>
      <c r="I259" s="88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 ht="15.75" customHeight="1">
      <c r="A260" s="6"/>
      <c r="B260" s="85"/>
      <c r="C260" s="86"/>
      <c r="D260" s="87"/>
      <c r="E260" s="88"/>
      <c r="F260" s="88"/>
      <c r="G260" s="88"/>
      <c r="H260" s="88"/>
      <c r="I260" s="88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 ht="15.75" customHeight="1">
      <c r="A261" s="6"/>
      <c r="B261" s="85"/>
      <c r="C261" s="86"/>
      <c r="D261" s="87"/>
      <c r="E261" s="88"/>
      <c r="F261" s="88"/>
      <c r="G261" s="88"/>
      <c r="H261" s="88"/>
      <c r="I261" s="88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 ht="15.75" customHeight="1">
      <c r="A262" s="6"/>
      <c r="B262" s="85"/>
      <c r="C262" s="86"/>
      <c r="D262" s="87"/>
      <c r="E262" s="88"/>
      <c r="F262" s="88"/>
      <c r="G262" s="88"/>
      <c r="H262" s="88"/>
      <c r="I262" s="88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 ht="15.75" customHeight="1">
      <c r="A263" s="6"/>
      <c r="B263" s="85"/>
      <c r="C263" s="86"/>
      <c r="D263" s="87"/>
      <c r="E263" s="88"/>
      <c r="F263" s="88"/>
      <c r="G263" s="88"/>
      <c r="H263" s="88"/>
      <c r="I263" s="88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 ht="15.75" customHeight="1">
      <c r="A264" s="6"/>
      <c r="B264" s="85"/>
      <c r="C264" s="86"/>
      <c r="D264" s="87"/>
      <c r="E264" s="88"/>
      <c r="F264" s="88"/>
      <c r="G264" s="88"/>
      <c r="H264" s="88"/>
      <c r="I264" s="88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 ht="15.75" customHeight="1">
      <c r="A265" s="6"/>
      <c r="B265" s="85"/>
      <c r="C265" s="86"/>
      <c r="D265" s="87"/>
      <c r="E265" s="88"/>
      <c r="F265" s="88"/>
      <c r="G265" s="88"/>
      <c r="H265" s="88"/>
      <c r="I265" s="88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 ht="15.75" customHeight="1">
      <c r="A266" s="6"/>
      <c r="B266" s="85"/>
      <c r="C266" s="86"/>
      <c r="D266" s="87"/>
      <c r="E266" s="88"/>
      <c r="F266" s="88"/>
      <c r="G266" s="88"/>
      <c r="H266" s="88"/>
      <c r="I266" s="88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 ht="15.75" customHeight="1">
      <c r="A267" s="6"/>
      <c r="B267" s="85"/>
      <c r="C267" s="86"/>
      <c r="D267" s="87"/>
      <c r="E267" s="88"/>
      <c r="F267" s="88"/>
      <c r="G267" s="88"/>
      <c r="H267" s="88"/>
      <c r="I267" s="88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 ht="15.75" customHeight="1">
      <c r="A268" s="6"/>
      <c r="B268" s="85"/>
      <c r="C268" s="86"/>
      <c r="D268" s="87"/>
      <c r="E268" s="88"/>
      <c r="F268" s="88"/>
      <c r="G268" s="88"/>
      <c r="H268" s="88"/>
      <c r="I268" s="88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 ht="15.75" customHeight="1">
      <c r="A269" s="6"/>
      <c r="B269" s="85"/>
      <c r="C269" s="86"/>
      <c r="D269" s="87"/>
      <c r="E269" s="88"/>
      <c r="F269" s="88"/>
      <c r="G269" s="88"/>
      <c r="H269" s="88"/>
      <c r="I269" s="88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 ht="15.75" customHeight="1">
      <c r="A270" s="6"/>
      <c r="B270" s="85"/>
      <c r="C270" s="86"/>
      <c r="D270" s="87"/>
      <c r="E270" s="88"/>
      <c r="F270" s="88"/>
      <c r="G270" s="88"/>
      <c r="H270" s="88"/>
      <c r="I270" s="88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 ht="15.75" customHeight="1">
      <c r="A271" s="6"/>
      <c r="B271" s="85"/>
      <c r="C271" s="86"/>
      <c r="D271" s="87"/>
      <c r="E271" s="88"/>
      <c r="F271" s="88"/>
      <c r="G271" s="88"/>
      <c r="H271" s="88"/>
      <c r="I271" s="88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 ht="15.75" customHeight="1">
      <c r="A272" s="6"/>
      <c r="B272" s="85"/>
      <c r="C272" s="86"/>
      <c r="D272" s="87"/>
      <c r="E272" s="88"/>
      <c r="F272" s="88"/>
      <c r="G272" s="88"/>
      <c r="H272" s="88"/>
      <c r="I272" s="88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 ht="15.75" customHeight="1">
      <c r="A273" s="6"/>
      <c r="B273" s="85"/>
      <c r="C273" s="86"/>
      <c r="D273" s="87"/>
      <c r="E273" s="88"/>
      <c r="F273" s="88"/>
      <c r="G273" s="88"/>
      <c r="H273" s="88"/>
      <c r="I273" s="88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 ht="15.75" customHeight="1">
      <c r="A274" s="6"/>
      <c r="B274" s="85"/>
      <c r="C274" s="86"/>
      <c r="D274" s="87"/>
      <c r="E274" s="88"/>
      <c r="F274" s="88"/>
      <c r="G274" s="88"/>
      <c r="H274" s="88"/>
      <c r="I274" s="88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 ht="15.75" customHeight="1">
      <c r="A275" s="6"/>
      <c r="B275" s="85"/>
      <c r="C275" s="86"/>
      <c r="D275" s="87"/>
      <c r="E275" s="88"/>
      <c r="F275" s="88"/>
      <c r="G275" s="88"/>
      <c r="H275" s="88"/>
      <c r="I275" s="88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 ht="15.75" customHeight="1">
      <c r="A276" s="6"/>
      <c r="B276" s="85"/>
      <c r="C276" s="86"/>
      <c r="D276" s="87"/>
      <c r="E276" s="88"/>
      <c r="F276" s="88"/>
      <c r="G276" s="88"/>
      <c r="H276" s="88"/>
      <c r="I276" s="88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 ht="15.75" customHeight="1">
      <c r="A277" s="6"/>
      <c r="B277" s="85"/>
      <c r="C277" s="86"/>
      <c r="D277" s="87"/>
      <c r="E277" s="88"/>
      <c r="F277" s="88"/>
      <c r="G277" s="88"/>
      <c r="H277" s="88"/>
      <c r="I277" s="88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 ht="15.75" customHeight="1">
      <c r="A278" s="6"/>
      <c r="B278" s="85"/>
      <c r="C278" s="86"/>
      <c r="D278" s="87"/>
      <c r="E278" s="88"/>
      <c r="F278" s="88"/>
      <c r="G278" s="88"/>
      <c r="H278" s="88"/>
      <c r="I278" s="88"/>
      <c r="J278" s="6"/>
      <c r="K278" s="5"/>
      <c r="L278" s="5"/>
      <c r="M278" s="5"/>
      <c r="N278" s="5"/>
      <c r="O278" s="6"/>
      <c r="P278" s="6"/>
      <c r="Q278" s="6"/>
      <c r="R278" s="6"/>
      <c r="S278" s="6"/>
      <c r="T278" s="6"/>
    </row>
    <row r="279" ht="15.75" customHeight="1">
      <c r="A279" s="6"/>
      <c r="B279" s="85"/>
      <c r="C279" s="86"/>
      <c r="D279" s="87"/>
      <c r="E279" s="88"/>
      <c r="F279" s="88"/>
      <c r="G279" s="88"/>
      <c r="H279" s="88"/>
      <c r="I279" s="88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 ht="15.75" customHeight="1">
      <c r="A280" s="6"/>
      <c r="B280" s="85"/>
      <c r="C280" s="86"/>
      <c r="D280" s="87"/>
      <c r="E280" s="88"/>
      <c r="F280" s="88"/>
      <c r="G280" s="88"/>
      <c r="H280" s="88"/>
      <c r="I280" s="88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 ht="15.75" customHeight="1">
      <c r="A281" s="6"/>
      <c r="B281" s="85"/>
      <c r="C281" s="86"/>
      <c r="D281" s="87"/>
      <c r="E281" s="88"/>
      <c r="F281" s="88"/>
      <c r="G281" s="88"/>
      <c r="H281" s="88"/>
      <c r="I281" s="88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 ht="15.75" customHeight="1">
      <c r="A282" s="6"/>
      <c r="B282" s="85"/>
      <c r="C282" s="86"/>
      <c r="D282" s="87"/>
      <c r="E282" s="88"/>
      <c r="F282" s="88"/>
      <c r="G282" s="88"/>
      <c r="H282" s="88"/>
      <c r="I282" s="88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 ht="15.75" customHeight="1">
      <c r="A283" s="6"/>
      <c r="B283" s="85"/>
      <c r="C283" s="86"/>
      <c r="D283" s="87"/>
      <c r="E283" s="88"/>
      <c r="F283" s="88"/>
      <c r="G283" s="88"/>
      <c r="H283" s="88"/>
      <c r="I283" s="88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 ht="15.75" customHeight="1">
      <c r="A284" s="6"/>
      <c r="B284" s="85"/>
      <c r="C284" s="86"/>
      <c r="D284" s="87"/>
      <c r="E284" s="88"/>
      <c r="F284" s="88"/>
      <c r="G284" s="88"/>
      <c r="H284" s="88"/>
      <c r="I284" s="88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 ht="15.75" customHeight="1">
      <c r="A285" s="6"/>
      <c r="B285" s="85"/>
      <c r="C285" s="86"/>
      <c r="D285" s="87"/>
      <c r="E285" s="88"/>
      <c r="F285" s="88"/>
      <c r="G285" s="88"/>
      <c r="H285" s="88"/>
      <c r="I285" s="88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 ht="15.75" customHeight="1">
      <c r="A286" s="6"/>
      <c r="B286" s="85"/>
      <c r="C286" s="86"/>
      <c r="D286" s="87"/>
      <c r="E286" s="88"/>
      <c r="F286" s="88"/>
      <c r="G286" s="88"/>
      <c r="H286" s="88"/>
      <c r="I286" s="88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 ht="15.75" customHeight="1">
      <c r="A287" s="6"/>
      <c r="B287" s="85"/>
      <c r="C287" s="86"/>
      <c r="D287" s="87"/>
      <c r="E287" s="88"/>
      <c r="F287" s="88"/>
      <c r="G287" s="88"/>
      <c r="H287" s="88"/>
      <c r="I287" s="88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 ht="15.75" customHeight="1">
      <c r="A288" s="6"/>
      <c r="B288" s="85"/>
      <c r="C288" s="86"/>
      <c r="D288" s="87"/>
      <c r="E288" s="88"/>
      <c r="F288" s="88"/>
      <c r="G288" s="88"/>
      <c r="H288" s="88"/>
      <c r="I288" s="88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 ht="15.75" customHeight="1">
      <c r="A289" s="6"/>
      <c r="B289" s="85"/>
      <c r="C289" s="86"/>
      <c r="D289" s="87"/>
      <c r="E289" s="88"/>
      <c r="F289" s="88"/>
      <c r="G289" s="88"/>
      <c r="H289" s="88"/>
      <c r="I289" s="88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 ht="15.75" customHeight="1">
      <c r="A290" s="6"/>
      <c r="B290" s="85"/>
      <c r="C290" s="86"/>
      <c r="D290" s="87"/>
      <c r="E290" s="88"/>
      <c r="F290" s="88"/>
      <c r="G290" s="88"/>
      <c r="H290" s="88"/>
      <c r="I290" s="88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 ht="15.75" customHeight="1">
      <c r="A291" s="6"/>
      <c r="B291" s="85"/>
      <c r="C291" s="86"/>
      <c r="D291" s="87"/>
      <c r="E291" s="88"/>
      <c r="F291" s="88"/>
      <c r="G291" s="88"/>
      <c r="H291" s="88"/>
      <c r="I291" s="88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</row>
    <row r="292" ht="15.75" customHeight="1">
      <c r="A292" s="6"/>
      <c r="B292" s="85"/>
      <c r="C292" s="86"/>
      <c r="D292" s="87"/>
      <c r="E292" s="88"/>
      <c r="F292" s="88"/>
      <c r="G292" s="88"/>
      <c r="H292" s="88"/>
      <c r="I292" s="88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 ht="15.75" customHeight="1">
      <c r="A293" s="6"/>
      <c r="B293" s="85"/>
      <c r="C293" s="86"/>
      <c r="D293" s="87"/>
      <c r="E293" s="88"/>
      <c r="F293" s="88"/>
      <c r="G293" s="88"/>
      <c r="H293" s="88"/>
      <c r="I293" s="88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</row>
    <row r="294" ht="15.75" customHeight="1">
      <c r="A294" s="6"/>
      <c r="B294" s="85"/>
      <c r="C294" s="86"/>
      <c r="D294" s="87"/>
      <c r="E294" s="88"/>
      <c r="F294" s="88"/>
      <c r="G294" s="88"/>
      <c r="H294" s="88"/>
      <c r="I294" s="88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 ht="15.75" customHeight="1">
      <c r="A295" s="6"/>
      <c r="B295" s="85"/>
      <c r="C295" s="86"/>
      <c r="D295" s="87"/>
      <c r="E295" s="88"/>
      <c r="F295" s="88"/>
      <c r="G295" s="88"/>
      <c r="H295" s="88"/>
      <c r="I295" s="88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</row>
    <row r="296" ht="15.75" customHeight="1">
      <c r="A296" s="6"/>
      <c r="B296" s="85"/>
      <c r="C296" s="86"/>
      <c r="D296" s="87"/>
      <c r="E296" s="88"/>
      <c r="F296" s="88"/>
      <c r="G296" s="88"/>
      <c r="H296" s="88"/>
      <c r="I296" s="88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 ht="15.75" customHeight="1">
      <c r="A297" s="6"/>
      <c r="B297" s="85"/>
      <c r="C297" s="86"/>
      <c r="D297" s="87"/>
      <c r="E297" s="88"/>
      <c r="F297" s="88"/>
      <c r="G297" s="88"/>
      <c r="H297" s="88"/>
      <c r="I297" s="88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 ht="15.75" customHeight="1">
      <c r="A298" s="6"/>
      <c r="B298" s="85"/>
      <c r="C298" s="86"/>
      <c r="D298" s="87"/>
      <c r="E298" s="88"/>
      <c r="F298" s="88"/>
      <c r="G298" s="88"/>
      <c r="H298" s="88"/>
      <c r="I298" s="88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 ht="15.75" customHeight="1">
      <c r="A299" s="6"/>
      <c r="B299" s="85"/>
      <c r="C299" s="86"/>
      <c r="D299" s="87"/>
      <c r="E299" s="88"/>
      <c r="F299" s="88"/>
      <c r="G299" s="88"/>
      <c r="H299" s="88"/>
      <c r="I299" s="88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 ht="15.75" customHeight="1">
      <c r="A300" s="6"/>
      <c r="B300" s="85"/>
      <c r="C300" s="86"/>
      <c r="D300" s="87"/>
      <c r="E300" s="88"/>
      <c r="F300" s="88"/>
      <c r="G300" s="88"/>
      <c r="H300" s="88"/>
      <c r="I300" s="88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 ht="15.75" customHeight="1">
      <c r="A301" s="6"/>
      <c r="B301" s="85"/>
      <c r="C301" s="86"/>
      <c r="D301" s="87"/>
      <c r="E301" s="88"/>
      <c r="F301" s="88"/>
      <c r="G301" s="88"/>
      <c r="H301" s="88"/>
      <c r="I301" s="88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</row>
    <row r="302" ht="15.75" customHeight="1">
      <c r="A302" s="6"/>
      <c r="B302" s="85"/>
      <c r="C302" s="86"/>
      <c r="D302" s="87"/>
      <c r="E302" s="88"/>
      <c r="F302" s="88"/>
      <c r="G302" s="88"/>
      <c r="H302" s="88"/>
      <c r="I302" s="88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 ht="15.75" customHeight="1">
      <c r="A303" s="6"/>
      <c r="B303" s="85"/>
      <c r="C303" s="86"/>
      <c r="D303" s="87"/>
      <c r="E303" s="88"/>
      <c r="F303" s="88"/>
      <c r="G303" s="88"/>
      <c r="H303" s="88"/>
      <c r="I303" s="88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</row>
    <row r="304" ht="15.75" customHeight="1">
      <c r="A304" s="6"/>
      <c r="B304" s="85"/>
      <c r="C304" s="86"/>
      <c r="D304" s="87"/>
      <c r="E304" s="88"/>
      <c r="F304" s="88"/>
      <c r="G304" s="88"/>
      <c r="H304" s="88"/>
      <c r="I304" s="88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 ht="15.75" customHeight="1">
      <c r="A305" s="6"/>
      <c r="B305" s="85"/>
      <c r="C305" s="86"/>
      <c r="D305" s="87"/>
      <c r="E305" s="88"/>
      <c r="F305" s="88"/>
      <c r="G305" s="88"/>
      <c r="H305" s="88"/>
      <c r="I305" s="88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 ht="15.75" customHeight="1">
      <c r="A306" s="6"/>
      <c r="B306" s="85"/>
      <c r="C306" s="86"/>
      <c r="D306" s="87"/>
      <c r="E306" s="88"/>
      <c r="F306" s="88"/>
      <c r="G306" s="88"/>
      <c r="H306" s="88"/>
      <c r="I306" s="88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 ht="15.75" customHeight="1">
      <c r="A307" s="6"/>
      <c r="B307" s="85"/>
      <c r="C307" s="86"/>
      <c r="D307" s="87"/>
      <c r="E307" s="88"/>
      <c r="F307" s="88"/>
      <c r="G307" s="88"/>
      <c r="H307" s="88"/>
      <c r="I307" s="88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</row>
    <row r="308" ht="15.75" customHeight="1">
      <c r="A308" s="6"/>
      <c r="B308" s="85"/>
      <c r="C308" s="86"/>
      <c r="D308" s="87"/>
      <c r="E308" s="88"/>
      <c r="F308" s="88"/>
      <c r="G308" s="88"/>
      <c r="H308" s="88"/>
      <c r="I308" s="88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 ht="15.75" customHeight="1">
      <c r="A309" s="6"/>
      <c r="B309" s="85"/>
      <c r="C309" s="86"/>
      <c r="D309" s="87"/>
      <c r="E309" s="88"/>
      <c r="F309" s="88"/>
      <c r="G309" s="88"/>
      <c r="H309" s="88"/>
      <c r="I309" s="88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 ht="15.75" customHeight="1">
      <c r="A310" s="6"/>
      <c r="B310" s="85"/>
      <c r="C310" s="86"/>
      <c r="D310" s="87"/>
      <c r="E310" s="88"/>
      <c r="F310" s="88"/>
      <c r="G310" s="88"/>
      <c r="H310" s="88"/>
      <c r="I310" s="88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 ht="15.75" customHeight="1">
      <c r="A311" s="6"/>
      <c r="B311" s="85"/>
      <c r="C311" s="86"/>
      <c r="D311" s="87"/>
      <c r="E311" s="88"/>
      <c r="F311" s="88"/>
      <c r="G311" s="88"/>
      <c r="H311" s="88"/>
      <c r="I311" s="88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 ht="15.75" customHeight="1">
      <c r="A312" s="6"/>
      <c r="B312" s="85"/>
      <c r="C312" s="86"/>
      <c r="D312" s="87"/>
      <c r="E312" s="88"/>
      <c r="F312" s="88"/>
      <c r="G312" s="88"/>
      <c r="H312" s="88"/>
      <c r="I312" s="88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 ht="15.75" customHeight="1">
      <c r="A313" s="6"/>
      <c r="B313" s="85"/>
      <c r="C313" s="86"/>
      <c r="D313" s="87"/>
      <c r="E313" s="88"/>
      <c r="F313" s="88"/>
      <c r="G313" s="88"/>
      <c r="H313" s="88"/>
      <c r="I313" s="88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</row>
    <row r="314" ht="15.75" customHeight="1">
      <c r="A314" s="6"/>
      <c r="B314" s="85"/>
      <c r="C314" s="86"/>
      <c r="D314" s="87"/>
      <c r="E314" s="88"/>
      <c r="F314" s="88"/>
      <c r="G314" s="88"/>
      <c r="H314" s="88"/>
      <c r="I314" s="88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</row>
    <row r="315" ht="15.75" customHeight="1">
      <c r="A315" s="6"/>
      <c r="B315" s="85"/>
      <c r="C315" s="86"/>
      <c r="D315" s="87"/>
      <c r="E315" s="88"/>
      <c r="F315" s="88"/>
      <c r="G315" s="88"/>
      <c r="H315" s="88"/>
      <c r="I315" s="88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</row>
    <row r="316" ht="15.75" customHeight="1">
      <c r="A316" s="6"/>
      <c r="B316" s="85"/>
      <c r="C316" s="86"/>
      <c r="D316" s="87"/>
      <c r="E316" s="88"/>
      <c r="F316" s="88"/>
      <c r="G316" s="88"/>
      <c r="H316" s="88"/>
      <c r="I316" s="88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</row>
    <row r="317" ht="15.75" customHeight="1">
      <c r="A317" s="6"/>
      <c r="B317" s="85"/>
      <c r="C317" s="86"/>
      <c r="D317" s="87"/>
      <c r="E317" s="88"/>
      <c r="F317" s="88"/>
      <c r="G317" s="88"/>
      <c r="H317" s="88"/>
      <c r="I317" s="88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</row>
    <row r="318" ht="15.75" customHeight="1">
      <c r="A318" s="6"/>
      <c r="B318" s="85"/>
      <c r="C318" s="86"/>
      <c r="D318" s="87"/>
      <c r="E318" s="88"/>
      <c r="F318" s="88"/>
      <c r="G318" s="88"/>
      <c r="H318" s="88"/>
      <c r="I318" s="88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</row>
    <row r="319" ht="15.75" customHeight="1">
      <c r="A319" s="6"/>
      <c r="B319" s="85"/>
      <c r="C319" s="86"/>
      <c r="D319" s="87"/>
      <c r="E319" s="88"/>
      <c r="F319" s="88"/>
      <c r="G319" s="88"/>
      <c r="H319" s="88"/>
      <c r="I319" s="88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</row>
    <row r="320" ht="15.75" customHeight="1">
      <c r="A320" s="6"/>
      <c r="B320" s="85"/>
      <c r="C320" s="86"/>
      <c r="D320" s="87"/>
      <c r="E320" s="88"/>
      <c r="F320" s="88"/>
      <c r="G320" s="88"/>
      <c r="H320" s="88"/>
      <c r="I320" s="88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</row>
    <row r="321" ht="15.75" customHeight="1">
      <c r="A321" s="6"/>
      <c r="B321" s="85"/>
      <c r="C321" s="86"/>
      <c r="D321" s="87"/>
      <c r="E321" s="88"/>
      <c r="F321" s="88"/>
      <c r="G321" s="88"/>
      <c r="H321" s="88"/>
      <c r="I321" s="88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</row>
    <row r="322" ht="15.75" customHeight="1">
      <c r="A322" s="6"/>
      <c r="B322" s="85"/>
      <c r="C322" s="86"/>
      <c r="D322" s="87"/>
      <c r="E322" s="88"/>
      <c r="F322" s="88"/>
      <c r="G322" s="88"/>
      <c r="H322" s="88"/>
      <c r="I322" s="88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</row>
    <row r="323" ht="15.75" customHeight="1">
      <c r="A323" s="6"/>
      <c r="B323" s="85"/>
      <c r="C323" s="86"/>
      <c r="D323" s="87"/>
      <c r="E323" s="88"/>
      <c r="F323" s="88"/>
      <c r="G323" s="88"/>
      <c r="H323" s="88"/>
      <c r="I323" s="88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</row>
    <row r="324" ht="15.75" customHeight="1">
      <c r="A324" s="6"/>
      <c r="B324" s="85"/>
      <c r="C324" s="86"/>
      <c r="D324" s="87"/>
      <c r="E324" s="88"/>
      <c r="F324" s="88"/>
      <c r="G324" s="88"/>
      <c r="H324" s="88"/>
      <c r="I324" s="88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</row>
    <row r="325" ht="15.75" customHeight="1">
      <c r="A325" s="6"/>
      <c r="B325" s="85"/>
      <c r="C325" s="86"/>
      <c r="D325" s="87"/>
      <c r="E325" s="88"/>
      <c r="F325" s="88"/>
      <c r="G325" s="88"/>
      <c r="H325" s="88"/>
      <c r="I325" s="88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</row>
    <row r="326" ht="15.75" customHeight="1">
      <c r="A326" s="6"/>
      <c r="B326" s="85"/>
      <c r="C326" s="86"/>
      <c r="D326" s="87"/>
      <c r="E326" s="88"/>
      <c r="F326" s="88"/>
      <c r="G326" s="88"/>
      <c r="H326" s="88"/>
      <c r="I326" s="88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</row>
    <row r="327" ht="15.75" customHeight="1">
      <c r="A327" s="6"/>
      <c r="B327" s="85"/>
      <c r="C327" s="86"/>
      <c r="D327" s="87"/>
      <c r="E327" s="88"/>
      <c r="F327" s="88"/>
      <c r="G327" s="88"/>
      <c r="H327" s="88"/>
      <c r="I327" s="88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</row>
    <row r="328" ht="15.75" customHeight="1">
      <c r="A328" s="6"/>
      <c r="B328" s="85"/>
      <c r="C328" s="86"/>
      <c r="D328" s="87"/>
      <c r="E328" s="88"/>
      <c r="F328" s="88"/>
      <c r="G328" s="88"/>
      <c r="H328" s="88"/>
      <c r="I328" s="88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</row>
    <row r="329" ht="15.75" customHeight="1">
      <c r="A329" s="6"/>
      <c r="B329" s="85"/>
      <c r="C329" s="86"/>
      <c r="D329" s="87"/>
      <c r="E329" s="88"/>
      <c r="F329" s="88"/>
      <c r="G329" s="88"/>
      <c r="H329" s="88"/>
      <c r="I329" s="88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</row>
    <row r="330" ht="15.75" customHeight="1">
      <c r="A330" s="6"/>
      <c r="B330" s="85"/>
      <c r="C330" s="86"/>
      <c r="D330" s="87"/>
      <c r="E330" s="88"/>
      <c r="F330" s="88"/>
      <c r="G330" s="88"/>
      <c r="H330" s="88"/>
      <c r="I330" s="88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</row>
    <row r="331" ht="15.75" customHeight="1">
      <c r="A331" s="6"/>
      <c r="B331" s="85"/>
      <c r="C331" s="86"/>
      <c r="D331" s="87"/>
      <c r="E331" s="88"/>
      <c r="F331" s="88"/>
      <c r="G331" s="88"/>
      <c r="H331" s="88"/>
      <c r="I331" s="88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</row>
    <row r="332" ht="15.75" customHeight="1">
      <c r="A332" s="6"/>
      <c r="B332" s="85"/>
      <c r="C332" s="86"/>
      <c r="D332" s="87"/>
      <c r="E332" s="88"/>
      <c r="F332" s="88"/>
      <c r="G332" s="88"/>
      <c r="H332" s="88"/>
      <c r="I332" s="88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</row>
    <row r="333" ht="15.75" customHeight="1">
      <c r="A333" s="6"/>
      <c r="B333" s="85"/>
      <c r="C333" s="86"/>
      <c r="D333" s="87"/>
      <c r="E333" s="88"/>
      <c r="F333" s="88"/>
      <c r="G333" s="88"/>
      <c r="H333" s="88"/>
      <c r="I333" s="88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</row>
    <row r="334" ht="15.75" customHeight="1">
      <c r="A334" s="6"/>
      <c r="B334" s="85"/>
      <c r="C334" s="86"/>
      <c r="D334" s="87"/>
      <c r="E334" s="88"/>
      <c r="F334" s="88"/>
      <c r="G334" s="88"/>
      <c r="H334" s="88"/>
      <c r="I334" s="88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</row>
    <row r="335" ht="15.75" customHeight="1">
      <c r="A335" s="6"/>
      <c r="B335" s="85"/>
      <c r="C335" s="86"/>
      <c r="D335" s="87"/>
      <c r="E335" s="88"/>
      <c r="F335" s="88"/>
      <c r="G335" s="88"/>
      <c r="H335" s="88"/>
      <c r="I335" s="88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</row>
    <row r="336" ht="15.75" customHeight="1">
      <c r="A336" s="6"/>
      <c r="B336" s="85"/>
      <c r="C336" s="86"/>
      <c r="D336" s="87"/>
      <c r="E336" s="88"/>
      <c r="F336" s="88"/>
      <c r="G336" s="88"/>
      <c r="H336" s="88"/>
      <c r="I336" s="88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</row>
    <row r="337" ht="15.75" customHeight="1">
      <c r="A337" s="6"/>
      <c r="B337" s="85"/>
      <c r="C337" s="86"/>
      <c r="D337" s="87"/>
      <c r="E337" s="88"/>
      <c r="F337" s="88"/>
      <c r="G337" s="88"/>
      <c r="H337" s="88"/>
      <c r="I337" s="88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</row>
    <row r="338" ht="15.75" customHeight="1">
      <c r="A338" s="6"/>
      <c r="B338" s="85"/>
      <c r="C338" s="86"/>
      <c r="D338" s="87"/>
      <c r="E338" s="88"/>
      <c r="F338" s="88"/>
      <c r="G338" s="88"/>
      <c r="H338" s="88"/>
      <c r="I338" s="88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</row>
    <row r="339" ht="15.75" customHeight="1">
      <c r="A339" s="6"/>
      <c r="B339" s="85"/>
      <c r="C339" s="86"/>
      <c r="D339" s="87"/>
      <c r="E339" s="88"/>
      <c r="F339" s="88"/>
      <c r="G339" s="88"/>
      <c r="H339" s="88"/>
      <c r="I339" s="88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</row>
    <row r="340" ht="15.75" customHeight="1">
      <c r="A340" s="6"/>
      <c r="B340" s="85"/>
      <c r="C340" s="86"/>
      <c r="D340" s="87"/>
      <c r="E340" s="88"/>
      <c r="F340" s="88"/>
      <c r="G340" s="88"/>
      <c r="H340" s="88"/>
      <c r="I340" s="88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</row>
    <row r="341" ht="15.75" customHeight="1">
      <c r="A341" s="6"/>
      <c r="B341" s="85"/>
      <c r="C341" s="86"/>
      <c r="D341" s="87"/>
      <c r="E341" s="88"/>
      <c r="F341" s="88"/>
      <c r="G341" s="88"/>
      <c r="H341" s="88"/>
      <c r="I341" s="88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</row>
    <row r="342" ht="15.75" customHeight="1">
      <c r="A342" s="6"/>
      <c r="B342" s="85"/>
      <c r="C342" s="86"/>
      <c r="D342" s="87"/>
      <c r="E342" s="88"/>
      <c r="F342" s="88"/>
      <c r="G342" s="88"/>
      <c r="H342" s="88"/>
      <c r="I342" s="88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</row>
    <row r="343" ht="15.75" customHeight="1">
      <c r="A343" s="6"/>
      <c r="B343" s="85"/>
      <c r="C343" s="86"/>
      <c r="D343" s="87"/>
      <c r="E343" s="88"/>
      <c r="F343" s="88"/>
      <c r="G343" s="88"/>
      <c r="H343" s="88"/>
      <c r="I343" s="88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</row>
    <row r="344" ht="15.75" customHeight="1">
      <c r="A344" s="6"/>
      <c r="B344" s="85"/>
      <c r="C344" s="86"/>
      <c r="D344" s="87"/>
      <c r="E344" s="88"/>
      <c r="F344" s="88"/>
      <c r="G344" s="88"/>
      <c r="H344" s="88"/>
      <c r="I344" s="88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</row>
    <row r="345" ht="15.75" customHeight="1">
      <c r="A345" s="6"/>
      <c r="B345" s="85"/>
      <c r="C345" s="86"/>
      <c r="D345" s="87"/>
      <c r="E345" s="88"/>
      <c r="F345" s="88"/>
      <c r="G345" s="88"/>
      <c r="H345" s="88"/>
      <c r="I345" s="88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</row>
    <row r="346" ht="15.75" customHeight="1">
      <c r="A346" s="6"/>
      <c r="B346" s="85"/>
      <c r="C346" s="86"/>
      <c r="D346" s="87"/>
      <c r="E346" s="88"/>
      <c r="F346" s="88"/>
      <c r="G346" s="88"/>
      <c r="H346" s="88"/>
      <c r="I346" s="88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</row>
    <row r="347" ht="15.75" customHeight="1">
      <c r="A347" s="6"/>
      <c r="B347" s="85"/>
      <c r="C347" s="86"/>
      <c r="D347" s="87"/>
      <c r="E347" s="88"/>
      <c r="F347" s="88"/>
      <c r="G347" s="88"/>
      <c r="H347" s="88"/>
      <c r="I347" s="88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</row>
    <row r="348" ht="15.75" customHeight="1">
      <c r="A348" s="6"/>
      <c r="B348" s="85"/>
      <c r="C348" s="86"/>
      <c r="D348" s="87"/>
      <c r="E348" s="88"/>
      <c r="F348" s="88"/>
      <c r="G348" s="88"/>
      <c r="H348" s="88"/>
      <c r="I348" s="88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</row>
    <row r="349" ht="15.75" customHeight="1">
      <c r="A349" s="6"/>
      <c r="B349" s="85"/>
      <c r="C349" s="86"/>
      <c r="D349" s="87"/>
      <c r="E349" s="88"/>
      <c r="F349" s="88"/>
      <c r="G349" s="88"/>
      <c r="H349" s="88"/>
      <c r="I349" s="88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</row>
    <row r="350" ht="15.75" customHeight="1">
      <c r="A350" s="6"/>
      <c r="B350" s="85"/>
      <c r="C350" s="86"/>
      <c r="D350" s="87"/>
      <c r="E350" s="88"/>
      <c r="F350" s="88"/>
      <c r="G350" s="88"/>
      <c r="H350" s="88"/>
      <c r="I350" s="88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</row>
    <row r="351" ht="15.75" customHeight="1">
      <c r="A351" s="6"/>
      <c r="B351" s="85"/>
      <c r="C351" s="86"/>
      <c r="D351" s="87"/>
      <c r="E351" s="88"/>
      <c r="F351" s="88"/>
      <c r="G351" s="88"/>
      <c r="H351" s="88"/>
      <c r="I351" s="88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</row>
    <row r="352" ht="15.75" customHeight="1">
      <c r="A352" s="6"/>
      <c r="B352" s="85"/>
      <c r="C352" s="86"/>
      <c r="D352" s="87"/>
      <c r="E352" s="88"/>
      <c r="F352" s="88"/>
      <c r="G352" s="88"/>
      <c r="H352" s="88"/>
      <c r="I352" s="88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</row>
    <row r="353" ht="15.75" customHeight="1">
      <c r="A353" s="6"/>
      <c r="B353" s="85"/>
      <c r="C353" s="86"/>
      <c r="D353" s="87"/>
      <c r="E353" s="88"/>
      <c r="F353" s="88"/>
      <c r="G353" s="88"/>
      <c r="H353" s="88"/>
      <c r="I353" s="88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</row>
    <row r="354" ht="15.75" customHeight="1">
      <c r="A354" s="6"/>
      <c r="B354" s="85"/>
      <c r="C354" s="86"/>
      <c r="D354" s="87"/>
      <c r="E354" s="88"/>
      <c r="F354" s="88"/>
      <c r="G354" s="88"/>
      <c r="H354" s="88"/>
      <c r="I354" s="88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</row>
    <row r="355" ht="15.75" customHeight="1">
      <c r="A355" s="6"/>
      <c r="B355" s="85"/>
      <c r="C355" s="86"/>
      <c r="D355" s="87"/>
      <c r="E355" s="88"/>
      <c r="F355" s="88"/>
      <c r="G355" s="88"/>
      <c r="H355" s="88"/>
      <c r="I355" s="88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</row>
    <row r="356" ht="15.75" customHeight="1">
      <c r="A356" s="6"/>
      <c r="B356" s="85"/>
      <c r="C356" s="86"/>
      <c r="D356" s="87"/>
      <c r="E356" s="88"/>
      <c r="F356" s="88"/>
      <c r="G356" s="88"/>
      <c r="H356" s="88"/>
      <c r="I356" s="88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</row>
    <row r="357" ht="15.75" customHeight="1">
      <c r="A357" s="6"/>
      <c r="B357" s="85"/>
      <c r="C357" s="86"/>
      <c r="D357" s="87"/>
      <c r="E357" s="88"/>
      <c r="F357" s="88"/>
      <c r="G357" s="88"/>
      <c r="H357" s="88"/>
      <c r="I357" s="88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</row>
    <row r="358" ht="15.75" customHeight="1">
      <c r="A358" s="6"/>
      <c r="B358" s="85"/>
      <c r="C358" s="86"/>
      <c r="D358" s="87"/>
      <c r="E358" s="88"/>
      <c r="F358" s="88"/>
      <c r="G358" s="88"/>
      <c r="H358" s="88"/>
      <c r="I358" s="88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</row>
    <row r="359" ht="15.75" customHeight="1">
      <c r="A359" s="6"/>
      <c r="B359" s="85"/>
      <c r="C359" s="86"/>
      <c r="D359" s="87"/>
      <c r="E359" s="88"/>
      <c r="F359" s="88"/>
      <c r="G359" s="88"/>
      <c r="H359" s="88"/>
      <c r="I359" s="88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</row>
    <row r="360" ht="15.75" customHeight="1">
      <c r="A360" s="6"/>
      <c r="B360" s="85"/>
      <c r="C360" s="86"/>
      <c r="D360" s="87"/>
      <c r="E360" s="88"/>
      <c r="F360" s="88"/>
      <c r="G360" s="88"/>
      <c r="H360" s="88"/>
      <c r="I360" s="88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</row>
    <row r="361" ht="15.75" customHeight="1">
      <c r="A361" s="6"/>
      <c r="B361" s="85"/>
      <c r="C361" s="86"/>
      <c r="D361" s="87"/>
      <c r="E361" s="88"/>
      <c r="F361" s="88"/>
      <c r="G361" s="88"/>
      <c r="H361" s="88"/>
      <c r="I361" s="88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</row>
    <row r="362" ht="15.75" customHeight="1">
      <c r="A362" s="6"/>
      <c r="B362" s="85"/>
      <c r="C362" s="86"/>
      <c r="D362" s="87"/>
      <c r="E362" s="88"/>
      <c r="F362" s="88"/>
      <c r="G362" s="88"/>
      <c r="H362" s="88"/>
      <c r="I362" s="88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</row>
    <row r="363" ht="15.75" customHeight="1">
      <c r="A363" s="6"/>
      <c r="B363" s="85"/>
      <c r="C363" s="86"/>
      <c r="D363" s="87"/>
      <c r="E363" s="88"/>
      <c r="F363" s="88"/>
      <c r="G363" s="88"/>
      <c r="H363" s="88"/>
      <c r="I363" s="88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</row>
    <row r="364" ht="15.75" customHeight="1">
      <c r="A364" s="6"/>
      <c r="B364" s="85"/>
      <c r="C364" s="86"/>
      <c r="D364" s="87"/>
      <c r="E364" s="88"/>
      <c r="F364" s="88"/>
      <c r="G364" s="88"/>
      <c r="H364" s="88"/>
      <c r="I364" s="88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</row>
    <row r="365" ht="15.75" customHeight="1">
      <c r="A365" s="6"/>
      <c r="B365" s="85"/>
      <c r="C365" s="86"/>
      <c r="D365" s="87"/>
      <c r="E365" s="88"/>
      <c r="F365" s="88"/>
      <c r="G365" s="88"/>
      <c r="H365" s="88"/>
      <c r="I365" s="88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</row>
    <row r="366" ht="15.75" customHeight="1">
      <c r="A366" s="6"/>
      <c r="B366" s="85"/>
      <c r="C366" s="86"/>
      <c r="D366" s="87"/>
      <c r="E366" s="88"/>
      <c r="F366" s="88"/>
      <c r="G366" s="88"/>
      <c r="H366" s="88"/>
      <c r="I366" s="88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</row>
    <row r="367" ht="15.75" customHeight="1">
      <c r="A367" s="6"/>
      <c r="B367" s="85"/>
      <c r="C367" s="86"/>
      <c r="D367" s="87"/>
      <c r="E367" s="88"/>
      <c r="F367" s="88"/>
      <c r="G367" s="88"/>
      <c r="H367" s="88"/>
      <c r="I367" s="88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</row>
    <row r="368" ht="15.75" customHeight="1">
      <c r="A368" s="6"/>
      <c r="B368" s="85"/>
      <c r="C368" s="86"/>
      <c r="D368" s="87"/>
      <c r="E368" s="88"/>
      <c r="F368" s="88"/>
      <c r="G368" s="88"/>
      <c r="H368" s="88"/>
      <c r="I368" s="88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</row>
    <row r="369" ht="15.75" customHeight="1">
      <c r="A369" s="6"/>
      <c r="B369" s="85"/>
      <c r="C369" s="86"/>
      <c r="D369" s="87"/>
      <c r="E369" s="88"/>
      <c r="F369" s="88"/>
      <c r="G369" s="88"/>
      <c r="H369" s="88"/>
      <c r="I369" s="88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</row>
    <row r="370" ht="15.75" customHeight="1">
      <c r="A370" s="6"/>
      <c r="B370" s="85"/>
      <c r="C370" s="86"/>
      <c r="D370" s="87"/>
      <c r="E370" s="88"/>
      <c r="F370" s="88"/>
      <c r="G370" s="88"/>
      <c r="H370" s="88"/>
      <c r="I370" s="88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</row>
    <row r="371" ht="15.75" customHeight="1">
      <c r="A371" s="6"/>
      <c r="B371" s="85"/>
      <c r="C371" s="86"/>
      <c r="D371" s="87"/>
      <c r="E371" s="88"/>
      <c r="F371" s="88"/>
      <c r="G371" s="88"/>
      <c r="H371" s="88"/>
      <c r="I371" s="88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</row>
    <row r="372" ht="15.75" customHeight="1">
      <c r="A372" s="6"/>
      <c r="B372" s="85"/>
      <c r="C372" s="86"/>
      <c r="D372" s="87"/>
      <c r="E372" s="88"/>
      <c r="F372" s="88"/>
      <c r="G372" s="88"/>
      <c r="H372" s="88"/>
      <c r="I372" s="88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</row>
    <row r="373" ht="15.75" customHeight="1">
      <c r="A373" s="6"/>
      <c r="B373" s="85"/>
      <c r="C373" s="86"/>
      <c r="D373" s="87"/>
      <c r="E373" s="88"/>
      <c r="F373" s="88"/>
      <c r="G373" s="88"/>
      <c r="H373" s="88"/>
      <c r="I373" s="88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</row>
    <row r="374" ht="15.75" customHeight="1">
      <c r="A374" s="6"/>
      <c r="B374" s="85"/>
      <c r="C374" s="86"/>
      <c r="D374" s="87"/>
      <c r="E374" s="88"/>
      <c r="F374" s="88"/>
      <c r="G374" s="88"/>
      <c r="H374" s="88"/>
      <c r="I374" s="88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</row>
    <row r="375" ht="15.75" customHeight="1">
      <c r="A375" s="6"/>
      <c r="B375" s="85"/>
      <c r="C375" s="86"/>
      <c r="D375" s="87"/>
      <c r="E375" s="88"/>
      <c r="F375" s="88"/>
      <c r="G375" s="88"/>
      <c r="H375" s="88"/>
      <c r="I375" s="88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</row>
    <row r="376" ht="15.75" customHeight="1">
      <c r="A376" s="6"/>
      <c r="B376" s="85"/>
      <c r="C376" s="86"/>
      <c r="D376" s="87"/>
      <c r="E376" s="88"/>
      <c r="F376" s="88"/>
      <c r="G376" s="88"/>
      <c r="H376" s="88"/>
      <c r="I376" s="88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</row>
    <row r="377" ht="15.75" customHeight="1">
      <c r="A377" s="6"/>
      <c r="B377" s="85"/>
      <c r="C377" s="86"/>
      <c r="D377" s="87"/>
      <c r="E377" s="88"/>
      <c r="F377" s="88"/>
      <c r="G377" s="88"/>
      <c r="H377" s="88"/>
      <c r="I377" s="88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</row>
    <row r="378" ht="15.75" customHeight="1">
      <c r="A378" s="6"/>
      <c r="B378" s="85"/>
      <c r="C378" s="86"/>
      <c r="D378" s="87"/>
      <c r="E378" s="88"/>
      <c r="F378" s="88"/>
      <c r="G378" s="88"/>
      <c r="H378" s="88"/>
      <c r="I378" s="88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</row>
    <row r="379" ht="15.75" customHeight="1">
      <c r="A379" s="6"/>
      <c r="B379" s="85"/>
      <c r="C379" s="86"/>
      <c r="D379" s="87"/>
      <c r="E379" s="88"/>
      <c r="F379" s="88"/>
      <c r="G379" s="88"/>
      <c r="H379" s="88"/>
      <c r="I379" s="88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</row>
    <row r="380" ht="15.75" customHeight="1">
      <c r="A380" s="6"/>
      <c r="B380" s="85"/>
      <c r="C380" s="86"/>
      <c r="D380" s="87"/>
      <c r="E380" s="88"/>
      <c r="F380" s="88"/>
      <c r="G380" s="88"/>
      <c r="H380" s="88"/>
      <c r="I380" s="88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</row>
    <row r="381" ht="15.75" customHeight="1">
      <c r="A381" s="6"/>
      <c r="B381" s="85"/>
      <c r="C381" s="86"/>
      <c r="D381" s="87"/>
      <c r="E381" s="88"/>
      <c r="F381" s="88"/>
      <c r="G381" s="88"/>
      <c r="H381" s="88"/>
      <c r="I381" s="88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</row>
    <row r="382" ht="15.75" customHeight="1">
      <c r="A382" s="6"/>
      <c r="B382" s="85"/>
      <c r="C382" s="86"/>
      <c r="D382" s="87"/>
      <c r="E382" s="88"/>
      <c r="F382" s="88"/>
      <c r="G382" s="88"/>
      <c r="H382" s="88"/>
      <c r="I382" s="88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</row>
    <row r="383" ht="15.75" customHeight="1">
      <c r="A383" s="6"/>
      <c r="B383" s="85"/>
      <c r="C383" s="86"/>
      <c r="D383" s="87"/>
      <c r="E383" s="88"/>
      <c r="F383" s="88"/>
      <c r="G383" s="88"/>
      <c r="H383" s="88"/>
      <c r="I383" s="88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</row>
    <row r="384" ht="15.75" customHeight="1">
      <c r="A384" s="6"/>
      <c r="B384" s="85"/>
      <c r="C384" s="86"/>
      <c r="D384" s="87"/>
      <c r="E384" s="88"/>
      <c r="F384" s="88"/>
      <c r="G384" s="88"/>
      <c r="H384" s="88"/>
      <c r="I384" s="88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</row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H2:H3"/>
    <mergeCell ref="I2:I3"/>
    <mergeCell ref="A2:A3"/>
    <mergeCell ref="B2:B3"/>
    <mergeCell ref="C2:C3"/>
    <mergeCell ref="D2:D3"/>
    <mergeCell ref="E2:E3"/>
    <mergeCell ref="F2:F3"/>
    <mergeCell ref="G2:G3"/>
    <mergeCell ref="C5:C6"/>
    <mergeCell ref="C7:C12"/>
    <mergeCell ref="C14:C16"/>
    <mergeCell ref="C17:C18"/>
    <mergeCell ref="C20:C25"/>
    <mergeCell ref="C26:C29"/>
    <mergeCell ref="C31:C32"/>
    <mergeCell ref="C34:C38"/>
    <mergeCell ref="C39:C43"/>
    <mergeCell ref="C44:C46"/>
    <mergeCell ref="C47:C51"/>
    <mergeCell ref="C53:C55"/>
    <mergeCell ref="C57:C60"/>
    <mergeCell ref="C61:C63"/>
    <mergeCell ref="C64:C67"/>
    <mergeCell ref="C69:C70"/>
    <mergeCell ref="C71:C76"/>
    <mergeCell ref="C77:C85"/>
    <mergeCell ref="C86:C90"/>
    <mergeCell ref="C92:C102"/>
    <mergeCell ref="C104:C105"/>
    <mergeCell ref="C145:C146"/>
    <mergeCell ref="C147:C155"/>
    <mergeCell ref="C156:C158"/>
    <mergeCell ref="C159:C161"/>
    <mergeCell ref="C163:C167"/>
    <mergeCell ref="C106:C113"/>
    <mergeCell ref="C114:C118"/>
    <mergeCell ref="C119:C121"/>
    <mergeCell ref="C123:C131"/>
    <mergeCell ref="C132:C134"/>
    <mergeCell ref="C135:C140"/>
    <mergeCell ref="C141:C143"/>
  </mergeCells>
  <printOptions/>
  <pageMargins bottom="0.0" footer="0.0" header="0.0" left="0.0" right="0.0" top="0.0"/>
  <pageSetup orientation="landscape"/>
  <drawing r:id="rId1"/>
</worksheet>
</file>